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Kaushik.gm\Downloads\"/>
    </mc:Choice>
  </mc:AlternateContent>
  <xr:revisionPtr revIDLastSave="0" documentId="13_ncr:1_{C3E87177-7C2A-4CAF-A7BA-D68C2ABD97F7}" xr6:coauthVersionLast="47" xr6:coauthVersionMax="47" xr10:uidLastSave="{00000000-0000-0000-0000-000000000000}"/>
  <bookViews>
    <workbookView xWindow="-110" yWindow="-110" windowWidth="19420" windowHeight="10300" xr2:uid="{99F45D25-F8CD-4FE2-AAC7-71E5968A5ACB}"/>
  </bookViews>
  <sheets>
    <sheet name="tenure" sheetId="1" r:id="rId1"/>
    <sheet name="0ffer 1" sheetId="2" r:id="rId2"/>
    <sheet name="pad nce" sheetId="3" r:id="rId3"/>
    <sheet name="pad full swipe" sheetId="4" r:id="rId4"/>
    <sheet name="offer 2 9th to 13th" sheetId="5" r:id="rId5"/>
    <sheet name="gt price update 9th" sheetId="6" r:id="rId6"/>
    <sheet name="p3 0ffer 10TH TO 13TH" sheetId="8" r:id="rId7"/>
    <sheet name="p1 p2 14th to 21st" sheetId="9" r:id="rId8"/>
    <sheet name="15th to 21st gt 6" sheetId="12" r:id="rId9"/>
    <sheet name="pseries offer 14th to 16th" sheetId="10" r:id="rId10"/>
    <sheet name="p3 offer 17th to 19th" sheetId="11" r:id="rId11"/>
    <sheet name="p3 offer 20th 21st" sheetId="13" r:id="rId12"/>
    <sheet name="offer 3 23rd to 30th" sheetId="14" r:id="rId13"/>
    <sheet name="hdfc sharing" sheetId="15" r:id="rId14"/>
    <sheet name="14t offer 25th" sheetId="18" r:id="rId15"/>
    <sheet name="Sheet11" sheetId="19" r:id="rId16"/>
  </sheets>
  <definedNames>
    <definedName name="_xlnm._FilterDatabase" localSheetId="1" hidden="1">'0ffer 1'!$A$4:$K$32</definedName>
    <definedName name="_xlnm._FilterDatabase" localSheetId="13" hidden="1">'hdfc sharing'!$A$10:$I$37</definedName>
    <definedName name="_xlnm._FilterDatabase" localSheetId="4" hidden="1">'offer 2 9th to 13th'!$A$1:$L$31</definedName>
    <definedName name="_xlnm._FilterDatabase" localSheetId="12" hidden="1">'offer 3 23rd to 30th'!$A$3:$L$46</definedName>
    <definedName name="_xlnm._FilterDatabase" localSheetId="11" hidden="1">'p3 offer 20th 21st'!$A$1:$J$37</definedName>
    <definedName name="_xlnm._FilterDatabase" localSheetId="0" hidden="1">tenure!$A$2:$G$216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9" i="15" l="1"/>
  <c r="I28" i="15"/>
  <c r="I27" i="15"/>
  <c r="J20" i="15"/>
  <c r="K20" i="15" s="1"/>
  <c r="J21" i="15"/>
  <c r="J27" i="15"/>
  <c r="J28" i="15"/>
  <c r="J29" i="15"/>
  <c r="K29" i="15"/>
  <c r="K28" i="15"/>
  <c r="K27" i="15"/>
  <c r="K21" i="15"/>
  <c r="I31" i="15"/>
  <c r="I32" i="15"/>
  <c r="I33" i="15"/>
  <c r="I34" i="15"/>
  <c r="I35" i="15"/>
  <c r="I36" i="15"/>
  <c r="I37" i="15"/>
  <c r="I30" i="15"/>
  <c r="I12" i="15"/>
  <c r="I13" i="15"/>
  <c r="I14" i="15"/>
  <c r="I15" i="15"/>
  <c r="I16" i="15"/>
  <c r="I17" i="15"/>
  <c r="I18" i="15"/>
  <c r="I19" i="15"/>
  <c r="I20" i="15"/>
  <c r="I21" i="15"/>
  <c r="I22" i="15"/>
  <c r="I23" i="15"/>
  <c r="I24" i="15"/>
  <c r="I25" i="15"/>
  <c r="I26" i="15"/>
  <c r="I11" i="15"/>
  <c r="D3" i="12" l="1" a="1"/>
  <c r="D3" i="12" s="1"/>
  <c r="C3" i="12" a="1"/>
  <c r="C3" i="12" s="1"/>
  <c r="K6" i="2" l="1"/>
  <c r="K7" i="2"/>
  <c r="K8" i="2"/>
  <c r="K9" i="2"/>
  <c r="K10" i="2"/>
  <c r="K11" i="2"/>
  <c r="K12" i="2"/>
  <c r="K13" i="2"/>
  <c r="K14" i="2"/>
  <c r="K15" i="2"/>
  <c r="K16" i="2"/>
  <c r="K17" i="2"/>
  <c r="K18" i="2"/>
  <c r="K19" i="2"/>
  <c r="K20" i="2"/>
  <c r="K21" i="2"/>
  <c r="K22" i="2"/>
  <c r="K23" i="2"/>
  <c r="K24" i="2"/>
  <c r="K25" i="2"/>
  <c r="K26" i="2"/>
  <c r="K27" i="2"/>
  <c r="K28" i="2"/>
  <c r="K29" i="2"/>
  <c r="K30" i="2"/>
  <c r="K31" i="2"/>
  <c r="K32" i="2"/>
  <c r="K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<sst xmlns="http://schemas.openxmlformats.org/spreadsheetml/2006/main" count="3357" uniqueCount="438">
  <si>
    <t>VALIDITY : 2nd April'25 to 30th April'2025</t>
  </si>
  <si>
    <t>Model Name</t>
  </si>
  <si>
    <t>Model Description</t>
  </si>
  <si>
    <t>MOP</t>
  </si>
  <si>
    <t>3 M</t>
  </si>
  <si>
    <t>Others(6 M, 9 M and 12 M, whatever is applicable)</t>
  </si>
  <si>
    <t>Scheme Tenure</t>
  </si>
  <si>
    <t>Retailer Base</t>
  </si>
  <si>
    <t>CIB, No cost to realme</t>
  </si>
  <si>
    <t>1st to 30th April'25</t>
  </si>
  <si>
    <t>Approved by realme</t>
  </si>
  <si>
    <t>Yes</t>
  </si>
  <si>
    <t>3% to be borne by Realme, rest by customer</t>
  </si>
  <si>
    <t>realme P1 5G (Feather Blue,6GB+128GB)</t>
  </si>
  <si>
    <t>realme P1 5G (Peacock Green,6GB+128GB)</t>
  </si>
  <si>
    <t>realme P1 5G (Phoenix Red,6GB+128GB)</t>
  </si>
  <si>
    <t>realme P1 5G (Feather Blue,8GB+128GB)</t>
  </si>
  <si>
    <t>realme P1 5G (Peacock Green,8GB+128GB)</t>
  </si>
  <si>
    <t>realme P1 5G (Phoenix Red,8GB+128GB)</t>
  </si>
  <si>
    <t>realme P2 Pro 5G (Eagle Grey,8GB+128GB)</t>
  </si>
  <si>
    <t>realme P2 Pro 5G (Parrot Green,8GB+128GB)</t>
  </si>
  <si>
    <t>realme P2 Pro 5G (Eagle Grey,12GB+256GB)</t>
  </si>
  <si>
    <t>realme P2 Pro 5G (Parrot Green,12GB+256GB)</t>
  </si>
  <si>
    <t>realme P2 Pro 5G (Eagle Grey,12GB+512GB)</t>
  </si>
  <si>
    <t>realme P2 Pro 5G (Parrot Green,12GB+512GB)</t>
  </si>
  <si>
    <t>03, 06 &amp; 09 Months NC EMI(All cost to be borne by realme)</t>
  </si>
  <si>
    <t>12 Months LC EMI(3% to be borne by Realme, rest by Customer)</t>
  </si>
  <si>
    <t>03 &amp; 06 Months NC EMI(All cost to be borne by realme)</t>
  </si>
  <si>
    <t>09 &amp; 12 Months LC EMI(3% to be borne by Realme, rest by Customer)</t>
  </si>
  <si>
    <t>realme P3 Pro 5G (Saturn Brown,8GB+128GB)</t>
  </si>
  <si>
    <t>realme P3 Pro 5G (Galaxy Purple,8GB+128GB)</t>
  </si>
  <si>
    <t>realme P3 Pro 5G (Nebula Glow,8GB+128GB)</t>
  </si>
  <si>
    <t>realme P3 Pro 5G (Nebula Glow,8GB+256GB)</t>
  </si>
  <si>
    <t>realme P3 Pro 5G (Galaxy Purple,8GB+256GB)</t>
  </si>
  <si>
    <t>realme P3 Pro 5G (Saturn Brown,8GB+256GB)</t>
  </si>
  <si>
    <t>realme P3 Pro 5G (Saturn Brown,12GB+256GB)</t>
  </si>
  <si>
    <t>realme P3 Pro 5G (Galaxy Purple,12GB+256GB)</t>
  </si>
  <si>
    <t>realme P3 Pro 5G (Nebula Glow,12GB+256GB)</t>
  </si>
  <si>
    <t>Model</t>
  </si>
  <si>
    <t>Varinat</t>
  </si>
  <si>
    <t>Min Swipe</t>
  </si>
  <si>
    <t>CC EMI</t>
  </si>
  <si>
    <t>Banks</t>
  </si>
  <si>
    <t>Full Swipe</t>
  </si>
  <si>
    <t>14 Pro</t>
  </si>
  <si>
    <t>8+128</t>
  </si>
  <si>
    <t>SBI, AXIS, BOB, OneCard &amp; J&amp;K</t>
  </si>
  <si>
    <t>8+256</t>
  </si>
  <si>
    <t>14 Pro+</t>
  </si>
  <si>
    <t>12+256</t>
  </si>
  <si>
    <t>12+512</t>
  </si>
  <si>
    <t>14x</t>
  </si>
  <si>
    <t>6+128</t>
  </si>
  <si>
    <t>-</t>
  </si>
  <si>
    <t>GT 7pro</t>
  </si>
  <si>
    <t>16+512</t>
  </si>
  <si>
    <t>Bank</t>
  </si>
  <si>
    <t>Bank Share%</t>
  </si>
  <si>
    <t>ICICI</t>
  </si>
  <si>
    <t>Kotak</t>
  </si>
  <si>
    <t>NA</t>
  </si>
  <si>
    <t>IDFC</t>
  </si>
  <si>
    <t>BOB</t>
  </si>
  <si>
    <t>DBS</t>
  </si>
  <si>
    <t>ONECARD</t>
  </si>
  <si>
    <t>YES</t>
  </si>
  <si>
    <t>AXIS</t>
  </si>
  <si>
    <t>HSBC</t>
  </si>
  <si>
    <t>Federal</t>
  </si>
  <si>
    <t>J&amp;K</t>
  </si>
  <si>
    <t>Scapia</t>
  </si>
  <si>
    <t>AMEX</t>
  </si>
  <si>
    <t>HDFC</t>
  </si>
  <si>
    <t>SBI</t>
  </si>
  <si>
    <t>PNB</t>
  </si>
  <si>
    <t>AXIS, IDFC,  BOB, HSBC, J&amp;K,Yes</t>
  </si>
  <si>
    <t>Please find details of Bank offers for the month of April’25.</t>
  </si>
  <si>
    <t>6M</t>
  </si>
  <si>
    <t>9M</t>
  </si>
  <si>
    <t>12M</t>
  </si>
  <si>
    <t>Eligible Banks(CC EMI)</t>
  </si>
  <si>
    <t>Pad 2 WIFI 6GB+128GB Grey</t>
  </si>
  <si>
    <t>NC EMI</t>
  </si>
  <si>
    <t>LC EMI</t>
  </si>
  <si>
    <t>HDFC, SBI &amp; ICICI</t>
  </si>
  <si>
    <t>Pad 2 WIFI 6GB+128GB Green</t>
  </si>
  <si>
    <t>Pad 2 LTE 6GB+128GB Grey</t>
  </si>
  <si>
    <t>Pad 2 LTE 6GB+128GB Green</t>
  </si>
  <si>
    <t>Pad 2 LTE 8GB+256GB Grey</t>
  </si>
  <si>
    <t>Pad 2 LTE 8GB+256GB Green</t>
  </si>
  <si>
    <t>Pad 2 (Lite) 4GB+128GB LTE - Grey</t>
  </si>
  <si>
    <t>Pad 2 (Lite) 4GB+128GB LTE - Purple</t>
  </si>
  <si>
    <t>Pad 2 (Lite) 8GB+128GB LTE - Grey</t>
  </si>
  <si>
    <t>Pad 2 (Lite) 8GB+128GB LTE - Purple</t>
  </si>
  <si>
    <t>NC EMI: All cost by realme.</t>
  </si>
  <si>
    <t>Period</t>
  </si>
  <si>
    <t>Instant Discount Amount</t>
  </si>
  <si>
    <t>HDFC CC</t>
  </si>
  <si>
    <t>Kotak CC</t>
  </si>
  <si>
    <t>SBI CC</t>
  </si>
  <si>
    <t>AXIS CC</t>
  </si>
  <si>
    <t>J&amp;K CC</t>
  </si>
  <si>
    <t>3rd March - 31st March</t>
  </si>
  <si>
    <t>Offer Period</t>
  </si>
  <si>
    <t>Variant</t>
  </si>
  <si>
    <t>09th to 13th Apr'25</t>
  </si>
  <si>
    <t>P1</t>
  </si>
  <si>
    <t>P2 Pro</t>
  </si>
  <si>
    <t>P3 Ultra</t>
  </si>
  <si>
    <t>GT 6</t>
  </si>
  <si>
    <t>*14 Pro+ (12+512): Cashback contribution would be run as it is. Extra cost of Rs. 1000 in case of CC EMI and Rs. 1500 in case of Full Swipe to be borne by realme.</t>
  </si>
  <si>
    <t>* Kotak Bank: Else 4% of Authorized Amount whichever would be lower.</t>
  </si>
  <si>
    <t>HDFC, IDFC, Onecard, BOB, HSBC, J&amp;K, DBS</t>
  </si>
  <si>
    <t>HDFC, IDFC,BOB, HSBC, J&amp;K</t>
  </si>
  <si>
    <t>HDFC, AXIS, IDFC,BOB, HSBC, J&amp;K,</t>
  </si>
  <si>
    <t xml:space="preserve">HDFC, AXIS, IDFC,BOB, HSBC, J&amp;K, </t>
  </si>
  <si>
    <t>SBI,AXIS</t>
  </si>
  <si>
    <t>Minimum Swipe update only.</t>
  </si>
  <si>
    <t>10th to 13th Apr'25</t>
  </si>
  <si>
    <t>P3 Pro</t>
  </si>
  <si>
    <t>SBI, Onecard, AXIS</t>
  </si>
  <si>
    <t>HDFC, IDFC, BOB, HSBC, J&amp;K</t>
  </si>
  <si>
    <t>3m</t>
  </si>
  <si>
    <t>6m 9m 12m</t>
  </si>
  <si>
    <t>NCE</t>
  </si>
  <si>
    <t>LCE</t>
  </si>
  <si>
    <t>14th to 21st Apr'25</t>
  </si>
  <si>
    <t>HDFC, IDFC, Onecard, BOB, HSBC, PnB, J&amp;K, Kotak</t>
  </si>
  <si>
    <t>14th to 16th Apr'25</t>
  </si>
  <si>
    <t>IDFC, Onecard, BOB, HSBC, PnB, J&amp;K, Kotak</t>
  </si>
  <si>
    <t>SBI, Onecard, AXIS, Scapia, Canara</t>
  </si>
  <si>
    <t>IDFC, Onecard, BOB, HSBC, PnB, J&amp;K</t>
  </si>
  <si>
    <t>17th to 19th Apr'25</t>
  </si>
  <si>
    <t>Offer Tenure</t>
  </si>
  <si>
    <t>Model Discription</t>
  </si>
  <si>
    <t>15th to 21st Apr'25</t>
  </si>
  <si>
    <t>AU</t>
  </si>
  <si>
    <t>6,9,12</t>
  </si>
  <si>
    <t>20th Apr'25</t>
  </si>
  <si>
    <t>21st April'25</t>
  </si>
  <si>
    <t>20th April'25</t>
  </si>
  <si>
    <t>Canara</t>
  </si>
  <si>
    <t>IDFC, Onecard, BOB, HSBC, J&amp;K</t>
  </si>
  <si>
    <t>HDFC, IDFC, Onecard, BOB, HSBC, J&amp;K</t>
  </si>
  <si>
    <t>Offer Date</t>
  </si>
  <si>
    <t>Comb</t>
  </si>
  <si>
    <t>22nd to 25th Apr'25</t>
  </si>
  <si>
    <t>GT 68+256</t>
  </si>
  <si>
    <t>HDFC, IDFC, Onecard, BOB, HSBC, J&amp;K, DBS, Kotak</t>
  </si>
  <si>
    <t>GT 612+256</t>
  </si>
  <si>
    <t>P16+128</t>
  </si>
  <si>
    <t>P18+128</t>
  </si>
  <si>
    <t>P2 Pro8+128</t>
  </si>
  <si>
    <t>P2 Pro12+256</t>
  </si>
  <si>
    <t>P2 Pro12+512</t>
  </si>
  <si>
    <t>realme P3 Ultra 5G 128GB 8GB Neptune Blue India</t>
  </si>
  <si>
    <t>P3 Ultra8+128</t>
  </si>
  <si>
    <t>SBI, AXIS, Onecard &amp; J&amp;K</t>
  </si>
  <si>
    <t>realme P3 Ultra 5G 128GB 8GB Orion Red India</t>
  </si>
  <si>
    <t>realme P3 Ultra 5G 128GB 8GB Glowing Lunar White India</t>
  </si>
  <si>
    <t>realme P3 Ultra 5G 256GB 8GB Glowing Lunar White India</t>
  </si>
  <si>
    <t>P3 Ultra8+256</t>
  </si>
  <si>
    <t>realme P3 Ultra 5G 256GB 8GB Orion Red India</t>
  </si>
  <si>
    <t>realme P3 Ultra 5G 256GB 8GB Neptune Blue India</t>
  </si>
  <si>
    <t>realme P3 Ultra 5G 256GB 12GB Neptune Blue India</t>
  </si>
  <si>
    <t>P3 Ultra12+256</t>
  </si>
  <si>
    <t>realme P3 Ultra 5G 256GB 12GB Orion Red India</t>
  </si>
  <si>
    <t>realme P3 Ultra 5G 256GB 12GB Glowing Lunar White India</t>
  </si>
  <si>
    <t>22nd to 24th Apr'25</t>
  </si>
  <si>
    <t>P3 Pro8+128</t>
  </si>
  <si>
    <t>P3 Pro8+256</t>
  </si>
  <si>
    <t>P3 Pro12+256</t>
  </si>
  <si>
    <t>25th Apr'25</t>
  </si>
  <si>
    <t>As per attached mail communication</t>
  </si>
  <si>
    <t>Hi Himanshu, </t>
  </si>
  <si>
    <t>Thank you for sharing the proposal. </t>
  </si>
  <si>
    <t>Please find the table - Except for GT6T and P2 pro. I have revised the bank share for the same. We are good with the cost for the other SKUs. I have a set a amount for recon check on loan amount which is after discount and NCE.</t>
  </si>
  <si>
    <t>Budget - 30L</t>
  </si>
  <si>
    <t>Discount</t>
  </si>
  <si>
    <t>HDFC Bank</t>
  </si>
  <si>
    <t>Recon check - Loan amount </t>
  </si>
  <si>
    <t>GT 6T</t>
  </si>
  <si>
    <t>P2Pro</t>
  </si>
  <si>
    <t>Hello Mam,</t>
  </si>
  <si>
    <t>Please find the offer proposal for the month of Apr’25. Kindly review and let us know for the changes if any.</t>
  </si>
  <si>
    <t>Expected Sellout</t>
  </si>
  <si>
    <t>SKU Name</t>
  </si>
  <si>
    <t>SPU Name</t>
  </si>
  <si>
    <t>Model Code</t>
  </si>
  <si>
    <t>25th to 30th Apr'25</t>
  </si>
  <si>
    <t>256GB 8GB</t>
  </si>
  <si>
    <t>03 &amp; 06 Months</t>
  </si>
  <si>
    <t>09 &amp; 12 Months</t>
  </si>
  <si>
    <t>128GB 8GB</t>
  </si>
  <si>
    <t>NC EMI: All cost to be borne by realme</t>
  </si>
  <si>
    <t>LC EMI: 3% to be borne by realme. Rest by customers.</t>
  </si>
  <si>
    <t>Instant Discount(CC EMI)</t>
  </si>
  <si>
    <t>Rs. 1000</t>
  </si>
  <si>
    <t>TENURE</t>
  </si>
  <si>
    <t>CASHBACK OFFER</t>
  </si>
  <si>
    <t>Contribution % CC EMI</t>
  </si>
  <si>
    <t>Eligible Banks</t>
  </si>
  <si>
    <t>Brand</t>
  </si>
  <si>
    <t>or 4% on Authorization Amount(Whichever would be less)</t>
  </si>
  <si>
    <t>Onecard</t>
  </si>
  <si>
    <t>Axis</t>
  </si>
  <si>
    <t>Bank approvals also attached.</t>
  </si>
  <si>
    <t>Realme 11 5G (Glory Gold,8GB+256GB)</t>
  </si>
  <si>
    <t>Realme 11 5G (Glory Black,8GB+256GB)</t>
  </si>
  <si>
    <t>Realme 11 5G (Glory Black,8GB+128GB)</t>
  </si>
  <si>
    <t>Realme 11 5G (Glory Gold,8GB+128GB)</t>
  </si>
  <si>
    <t>Realme 11x 5G (Purple Dawn,8GB+128GB)</t>
  </si>
  <si>
    <t>Realme 11x 5G (Midnight Black,8GB+128GB)</t>
  </si>
  <si>
    <t>Realme 11 Pro 5G(Astral Black,8GB+128GB)</t>
  </si>
  <si>
    <t>Realme 11 Pro 5G(Oasis Green,8GB+128GB)</t>
  </si>
  <si>
    <t>Realme 11 Pro 5G(Sunrise Beige,8GB+128GB)</t>
  </si>
  <si>
    <t>Realme 11 Pro 5G(Astral Black,8GB+256GB)</t>
  </si>
  <si>
    <t>Realme 11 Pro 5G(Oasis Green,8GB+256GB)</t>
  </si>
  <si>
    <t>Realme 11 Pro 5G(Sunrise Beige,8GB+256GB)</t>
  </si>
  <si>
    <t>Realme 11 Pro 5G(Astral Black,12GB+256GB)</t>
  </si>
  <si>
    <t>Realme 11 Pro 5G(Oasis Green,12GB+256GB)</t>
  </si>
  <si>
    <t>Realme 11 Pro 5G(Sunrise Beige,12GB+256GB)</t>
  </si>
  <si>
    <t>Realme 11 Pro+ 5G (Astral Black,8GB+256GB)</t>
  </si>
  <si>
    <t>Realme 11 Pro+ 5G (Oasis Green,8GB+256GB)</t>
  </si>
  <si>
    <t>Realme 11 Pro+ 5G (Sunrise Beige,8GB+256GB)</t>
  </si>
  <si>
    <t>Realme 11 Pro+ 5G (Astral Black,12GB+256GB)</t>
  </si>
  <si>
    <t>Realme 11 Pro+ 5G (Oasis Green,12GB+256GB)</t>
  </si>
  <si>
    <t>Realme 11 Pro+ 5G (Sunrise Beige,12GB+256GB)</t>
  </si>
  <si>
    <t>Realme 10 (Clash White,8GB+128GB)</t>
  </si>
  <si>
    <t>Realme 10 (Rush Black,8GB+128GB)</t>
  </si>
  <si>
    <t>Realme GT NEO 3 150W (Nitro Blue, 12GB+256GB)</t>
  </si>
  <si>
    <t>Realme GT Neo 3 (Nitro Blue, 8GB+256GB)</t>
  </si>
  <si>
    <t>Realme GT Neo 3 (Sprint White, 8GB+256GB)</t>
  </si>
  <si>
    <t>Realme GT Neo 3 (Asphalt Black, 8GB+256GB)</t>
  </si>
  <si>
    <t>Realme GT Neo 3 (Nitro Blue, 8GB+128GB)</t>
  </si>
  <si>
    <t>Realme GT Neo 3 (Sprint White, 8GB+128GB)</t>
  </si>
  <si>
    <t>Realme GT Neo 3 (Asphalt Black, 8GB+128GB)</t>
  </si>
  <si>
    <t>Realme GT NEO 3 150W (Sprint White, 12GB+256GB)</t>
  </si>
  <si>
    <t>Realme GT NEO 3 150W (Asphalt Black, 12GB+256GB)</t>
  </si>
  <si>
    <t>Realme GT NEO 3 150W Thor Love And Thunder Limited Edition (Nitro Blue, 12GB+256GB)</t>
  </si>
  <si>
    <t>Realme GT 2 Pro(Steel Black,8+128GB)</t>
  </si>
  <si>
    <t>Realme GT 2 Pro(Paper White,8+128GB)</t>
  </si>
  <si>
    <t>Realme GT 2 Pro(Paper Green ,8+128GB)</t>
  </si>
  <si>
    <t>Realme GT 2 Pro(Steel Black,12+256GB)</t>
  </si>
  <si>
    <t>Realme GT 2 Pro(Paper White,12+256GB)</t>
  </si>
  <si>
    <t>Realme GT 2 Pro(Paper Green ,12+256GB)</t>
  </si>
  <si>
    <t>Realme C67 5G (Dark Purple,6GB+128GB)</t>
  </si>
  <si>
    <t>Realme C67 5G (SunnyOasis,6GB+128GB)</t>
  </si>
  <si>
    <t>Realme C55  Sunshower (128GB 8GB)</t>
  </si>
  <si>
    <t>Realme C55  Rainforest (128GB 8GB)</t>
  </si>
  <si>
    <t>Realme C55  Rainy Night (128GB 8GB)</t>
  </si>
  <si>
    <t>Realme 10 (clash white 64GB 4GB)</t>
  </si>
  <si>
    <t>Realme 10 (Rush Black,4GB+64GB)</t>
  </si>
  <si>
    <t>Realme 12 Pro 5G (Navigator Beige,8GB+256GB)</t>
  </si>
  <si>
    <t>Realme 12 Pro 5G (Submariner Blue,8GB+256GB)</t>
  </si>
  <si>
    <t>Realme 12 Pro+ 5G (Navigator Beige,8GB+128GB)</t>
  </si>
  <si>
    <t>Realme 12 Pro+ 5G (Submariner Blue,8GB+128GB)</t>
  </si>
  <si>
    <t>Realme 12 Pro+ 5G (Explorer Red,8GB+128GB)</t>
  </si>
  <si>
    <t>Realme 12 Pro+ 5G (Navigator Beige,12GB+256GB)</t>
  </si>
  <si>
    <t>Realme 12 Pro+ 5G (Submariner Blue,12GB+256GB)</t>
  </si>
  <si>
    <t>Realme 12 Pro+ 5G (Explorer Red,12GB+256GB)</t>
  </si>
  <si>
    <t>Realme 12 Pro 5G (8GB+128GB)</t>
  </si>
  <si>
    <t>Realme 12 Pro+ 5G (8GB+256GB)</t>
  </si>
  <si>
    <t>Realme 12 5G (Twilight Purple,6GB+128GB)</t>
  </si>
  <si>
    <t>Realme 12 5G (Woodland Green,6GB+128GB)</t>
  </si>
  <si>
    <t>Realme 12 5G (Twilight Purple,8GB+128GB)</t>
  </si>
  <si>
    <t>Realme 12 5G (Woodland Green,8GB+128GB)</t>
  </si>
  <si>
    <t>Realme 12+ 5G (Navigator Beige,8GB+128GB)</t>
  </si>
  <si>
    <t>Realme 12+ 5G (Pioneer Green,8GB+128GB)</t>
  </si>
  <si>
    <t>Realme 12+ 5G (Navigator Beige,8GB+256GB)</t>
  </si>
  <si>
    <t>Realme 12+ 5G (Pioneer Green,8GB+256GB)</t>
  </si>
  <si>
    <t>Realme 12x 5G (Twilight Purple,8GB+128GB)</t>
  </si>
  <si>
    <t>Realme 12x 5G (Woodland Green,8GB+128GB)</t>
  </si>
  <si>
    <t>Realme C65 5G (Feather Green,4GB+64GB)</t>
  </si>
  <si>
    <t>Realme C65 5G (Glowing Black,4GB+64GB)</t>
  </si>
  <si>
    <t>Realme C65 5G (Glowing Black,4GB+128GB)</t>
  </si>
  <si>
    <t>Realme C65 5G (Feather Green,4GB+128GB)</t>
  </si>
  <si>
    <t>Realme C65 5G (Feather Green,6GB+128GB)</t>
  </si>
  <si>
    <t>Realme C65 5G (Glowing Black,6GB+128GB)</t>
  </si>
  <si>
    <t>Realme GT 6T (Fluid Silver,8GB+128GB)</t>
  </si>
  <si>
    <t>Realme GT 6T (Razor Green,8GB+128GB)</t>
  </si>
  <si>
    <t>Realme GT 6T (Razor Green,8GB+256GB)</t>
  </si>
  <si>
    <t>Realme GT 6T (Fluid Silver,8GB+256GB)</t>
  </si>
  <si>
    <t>Realme GT 6T (Fluid Silver,12GB+256GB)</t>
  </si>
  <si>
    <t>Realme GT 6T (Razor Green,12GB+256GB)</t>
  </si>
  <si>
    <t>Realme GT 6T (Razor Green,12GB+512GB)</t>
  </si>
  <si>
    <t>Realme GT 6T (Fluid Silver,12GB+512GB)</t>
  </si>
  <si>
    <t>Realme GT 6 (Fluid Silver,8GB+256GB)</t>
  </si>
  <si>
    <t>Realme GT 6 (Razor Green,8GB+256GB)</t>
  </si>
  <si>
    <t>Realme GT 6 (Razor Green,12GB+256GB)</t>
  </si>
  <si>
    <t>Realme GT 6 (Fluid Silver,12GB+256GB)</t>
  </si>
  <si>
    <t>Realme GT 6 (Razor Green,16GB+512GB)</t>
  </si>
  <si>
    <t>Realme GT 6 (Fluid Silver,16GB+512GB)</t>
  </si>
  <si>
    <t>Realme 12 Pro 5G (Submarine Blue,12GB+256GB)</t>
  </si>
  <si>
    <t>Realme 12 Pro 5G (Navigator Beige,12GB+256GB)</t>
  </si>
  <si>
    <t>Realme 13 Pro 5G (Emerald Green,8GB+128GB)</t>
  </si>
  <si>
    <t>Realme 13 Pro 5G (Monet Gold,8GB+128GB)</t>
  </si>
  <si>
    <t>Realme 13 Pro 5G (Monet Purple,8GB+128GB)</t>
  </si>
  <si>
    <t>Realme 13 Pro 5G (Emerald Green,8GB+256GB)</t>
  </si>
  <si>
    <t>Realme 13 Pro 5G (Monet Gold,8GB+256GB)</t>
  </si>
  <si>
    <t>Realme 13 Pro 5G (Monet Purple,8GB+256GB)</t>
  </si>
  <si>
    <t>Realme 13 Pro 5G (Emerald Green,12GB+512GB)</t>
  </si>
  <si>
    <t>Realme 13 Pro 5G (Monet Gold,12GB+512GB)</t>
  </si>
  <si>
    <t>Realme 13 Pro 5G (Monet Purple,12GB+512GB)</t>
  </si>
  <si>
    <t>Realme 13 Pro+ 5G (Emerald Green,8GB+256GB)</t>
  </si>
  <si>
    <t>Realme 13 Pro+ 5G (Monet Gold,8GB+256GB)</t>
  </si>
  <si>
    <t>Realme 13 Pro+ 5G (Emerald Green,12GB+256GB)</t>
  </si>
  <si>
    <t>Realme 13 Pro+ 5G (Monet Gold,12GB+256GB)</t>
  </si>
  <si>
    <t>Realme 13 Pro+ 5G (Emerald Green,12GB+512GB)</t>
  </si>
  <si>
    <t>Realme 13 Pro+ 5G (Monet Gold,12GB+512GB)</t>
  </si>
  <si>
    <t>Realme 13 Pro+ 5G (Monet Purple,8GB+256GB)</t>
  </si>
  <si>
    <t>Realme 13 Pro+ 5G (Monet Purple,12GB+256GB)</t>
  </si>
  <si>
    <t>Realme 13 Pro+ 5G (Monet Purple,12GB+512GB)</t>
  </si>
  <si>
    <t>Realme 13+ 5G (Dark Purple,8GB+128GB)</t>
  </si>
  <si>
    <t>Realme 13+ 5G (Speed Green,8GB+128GB)</t>
  </si>
  <si>
    <t>Realme 13+ 5G (Victory Gold,8GB+128GB)</t>
  </si>
  <si>
    <t>Realme 13+ 5G (Dark Purple,8GB+256GB)</t>
  </si>
  <si>
    <t>Realme 13+ 5G (Victory Gold,8GB+256GB)</t>
  </si>
  <si>
    <t>Realme 13+ 5G (Speed Green,8GB+256GB)</t>
  </si>
  <si>
    <t>Realme 13+ 5G (Dark Purple,12GB+256GB)</t>
  </si>
  <si>
    <t>Realme 13+ 5G (Victory Gold,12GB+256GB)</t>
  </si>
  <si>
    <t>Realme 13+ 5G (Speed Green ,12GB+256GB)</t>
  </si>
  <si>
    <t>Realme 13 5G ( Speed Green,8GB+128GB)</t>
  </si>
  <si>
    <t>Realme 13 5G ( Dark Purple,8GB+128GB)</t>
  </si>
  <si>
    <t>Realme 13 5G (Dark Purple,8GB+256GB)</t>
  </si>
  <si>
    <t>Realme 13 5G ( Speed Green,8GB+256GB)</t>
  </si>
  <si>
    <t>Realme P1 5G (Feather Blue,6GB+128GB)</t>
  </si>
  <si>
    <t>Realme P1 5G (Peacock Green,6GB+128GB)</t>
  </si>
  <si>
    <t>Realme P1 5G (Phoenix Red,6GB+128GB)</t>
  </si>
  <si>
    <t>Realme P1 5G (Feather Blue,8GB+128GB)</t>
  </si>
  <si>
    <t>Realme P1 5G (Peacock Green,8GB+128GB)</t>
  </si>
  <si>
    <t>Realme P1 5G (Phoenix Red,8GB+128GB)</t>
  </si>
  <si>
    <t>Realme P2 Pro 5G (Eagle Grey,8GB+128GB)</t>
  </si>
  <si>
    <t>Realme P2 Pro 5G (Parrot Green,8GB+128GB)</t>
  </si>
  <si>
    <t>Realme P2 Pro 5G (Eagle Grey,12GB+256GB)</t>
  </si>
  <si>
    <t>Realme P2 Pro 5G (Parrot Green,12GB+256GB)</t>
  </si>
  <si>
    <t>Realme P2 Pro 5G (Eagle Grey,12GB+512GB)</t>
  </si>
  <si>
    <t>Realme P2 Pro 5G (Parrot Green,12GB+512GB)</t>
  </si>
  <si>
    <t>Realme 12x 5G (Coral Red,8GB+128GB)</t>
  </si>
  <si>
    <t>Realme GT 6T (Miracle Purple,8GB+128GB)</t>
  </si>
  <si>
    <t>Realme GT 6T (Miracle Purple,8GB+256GB)</t>
  </si>
  <si>
    <t>Realme GT 6T (Miracle Purple,12GB+256GB)</t>
  </si>
  <si>
    <t>Realme GT 6T (Miracle Purple,12GB+512GB)</t>
  </si>
  <si>
    <t>Realme P1 Speed 5G (Textured Titanium,12GB+256GB)</t>
  </si>
  <si>
    <t>Realme P1 Speed 5G (Brushed Blue,12GB+256GB)</t>
  </si>
  <si>
    <t>Realme P1 Speed 5G (Brushed Blue,8GB+128GB)</t>
  </si>
  <si>
    <t>Realme P1 Speed 5G (Textured Titanium,8GB+128GB)</t>
  </si>
  <si>
    <t>Realme P1 Pro 5G (Phoenix Red,8GB+128GB)</t>
  </si>
  <si>
    <t>Realme P1 Pro 5G (Parrot blue,8GB+128GB)</t>
  </si>
  <si>
    <t>Realme P1 Pro 5G (Phoenix Red,8GB+256GB)</t>
  </si>
  <si>
    <t>Realme P1 Pro 5G (Parrot blue,8GB+256GB)</t>
  </si>
  <si>
    <t>Realme P1 Pro 5G(Parrot Blue,12+256)</t>
  </si>
  <si>
    <t>Realme P1 Pro 5G(Phoenix Red,12+256)</t>
  </si>
  <si>
    <t>Realme GT 7 Pro (Galaxy Grey, 12+256)</t>
  </si>
  <si>
    <t>Realme GT 7 Pro (Mars Orange, 12+256)</t>
  </si>
  <si>
    <t>Realme GT 7 Pro (Galaxy Grey, 16+512)</t>
  </si>
  <si>
    <t>Realme GT 7 Pro (Mars Orange, 16+512)</t>
  </si>
  <si>
    <t>Realme 14x 5G (Crystal Black,6GB+128GB)</t>
  </si>
  <si>
    <t>Realme 14x 5G (Golden Glow,6GB+128GB)</t>
  </si>
  <si>
    <t>Realme 14x 5G (Jewel Red,6GB+128GB)</t>
  </si>
  <si>
    <t>Realme 14x 5G (Crystal Black,8GB+128GB)</t>
  </si>
  <si>
    <t>Realme 14x 5G (Golden Glow,8GB+128GB)</t>
  </si>
  <si>
    <t>Realme 14x 5G (Jewel Red,8GB+128GB)</t>
  </si>
  <si>
    <t>Realme 14 Pro 5G (Suede Grey,8GB+128GB)</t>
  </si>
  <si>
    <t>Realme 14 Pro 5G (Jaipur Pink,8GB+128GB)</t>
  </si>
  <si>
    <t>Realme 14 Pro 5G (Pearl White,8GB+128GB)</t>
  </si>
  <si>
    <t>Realme 14 Pro 5G (Suede Grey,8GB+256GB)</t>
  </si>
  <si>
    <t>Realme 14 Pro 5G (Jaipur Pink,8GB+256GB)</t>
  </si>
  <si>
    <t>Realme 14 Pro 5G (Pearl White,8GB+256GB)</t>
  </si>
  <si>
    <t>Realme 14 Pro+ 5G (Suede Grey,8GB+128GB)</t>
  </si>
  <si>
    <t>Realme 14 Pro+ 5G (Bikaner Purple,8GB+128GB)</t>
  </si>
  <si>
    <t>Realme 14 Pro+ 5G (Pearl White,8GB+128GB)</t>
  </si>
  <si>
    <t>Realme 14 Pro+ 5G (Suede Grey,8GB+256GB)</t>
  </si>
  <si>
    <t>Realme 14 Pro+ 5G (Bikaner Purple,8GB+256GB)</t>
  </si>
  <si>
    <t>Realme 14 Pro+ 5G (Pearl White,8GB+256GB)</t>
  </si>
  <si>
    <t>Realme 14 Pro+ 5G (Suede Grey,12GB+256GB)</t>
  </si>
  <si>
    <t>Realme 14 Pro+ 5G (Bikaner Purple,12GB+256GB)</t>
  </si>
  <si>
    <t>Realme 14 Pro+ 5G (Pearl White,12GB+256GB)</t>
  </si>
  <si>
    <t>Realme P3x 5G (Midnight Blue,6GB+128GB)</t>
  </si>
  <si>
    <t>Realme P3x 5G (Lunar Silver,6GB+128GB)</t>
  </si>
  <si>
    <t>Realme P3x 5G (Midnight Blue,8GB+128GB)</t>
  </si>
  <si>
    <t>Realme P3x 5G (Lunar Silver,8GB+128GB)</t>
  </si>
  <si>
    <t>Realme P3x 5G (Stellar Pink,6GB+128GB)</t>
  </si>
  <si>
    <t>Realme P3x 5G (Stellar Pink,8GB+128GB)</t>
  </si>
  <si>
    <t>Realme P3 Pro 5G (Saturn Brown,8GB+128GB)</t>
  </si>
  <si>
    <t>Realme P3 Pro 5G (Galaxy Purple,8GB+128GB)</t>
  </si>
  <si>
    <t>Realme P3 Pro 5G (Nebula Glow,8GB+128GB)</t>
  </si>
  <si>
    <t>Realme P3 Pro 5G (Nebula Glow,8GB+256GB)</t>
  </si>
  <si>
    <t>Realme P3 Pro 5G (Galaxy Purple,8GB+256GB)</t>
  </si>
  <si>
    <t>Realme P3 Pro 5G (Saturn Brown,8GB+256GB)</t>
  </si>
  <si>
    <t>Realme P3 Pro 5G (Saturn Brown,12GB+256GB)</t>
  </si>
  <si>
    <t>Realme P3 Pro 5G (Galaxy Purple,12GB+256GB)</t>
  </si>
  <si>
    <t>Realme P3 Pro 5G (Nebula Glow,12GB+256GB)</t>
  </si>
  <si>
    <t>Realme 14 Pro+ 5G 512GB 12GB Suede Grey India RMX5051 IN</t>
  </si>
  <si>
    <t>Realme 14 Pro+ 5G 512GB 12GB Bikaner Purple India RMX5051 IN</t>
  </si>
  <si>
    <t>Realme 14 Pro+ 5G 512GB 12GB Pearl White India RMX5051 IN</t>
  </si>
  <si>
    <t>Realme 14 Pro Lite 5G (Glass Gold,8GB+128GB)</t>
  </si>
  <si>
    <t>Realme 14 Pro Lite 5G (Glass Purple,8GB+128GB)</t>
  </si>
  <si>
    <t>Realme 14 Pro Lite 5G (Glass Gold,8GB+256GB)</t>
  </si>
  <si>
    <t>Realme 14 Pro Lite 5G (Glass Purple,8GB+256GB)</t>
  </si>
  <si>
    <t>Realme P3 Ultra 5G 128GB 8GB Neptune Blue India RMX5030 IN</t>
  </si>
  <si>
    <t>Realme P3 Ultra 5G 128GB 8GB Orion Red India RMX5030 IN</t>
  </si>
  <si>
    <t>Realme P3 Ultra 5G 128GB 8GB Glowing Lunar White India RMX5030 IN</t>
  </si>
  <si>
    <t>Realme P3 Ultra 5G 256GB 8GB Glowing Lunar White India RMX5030 IN</t>
  </si>
  <si>
    <t>Realme P3 Ultra 5G 256GB 8GB Orion Red India RMX5030 IN</t>
  </si>
  <si>
    <t>Realme P3 Ultra 5G 256GB 8GB Neptune Blue India RMX5030 IN</t>
  </si>
  <si>
    <t>Realme P3 Ultra 5G 256GB 12GB Neptune Blue India RMX5030 IN</t>
  </si>
  <si>
    <t>Realme P3 Ultra 5G 256GB 12GB Orion Red India RMX5030 IN</t>
  </si>
  <si>
    <t>Realme P3 Ultra 5G 256GB 12GB Glowing Lunar White India RMX5030 IN</t>
  </si>
  <si>
    <t>Realme P3 5G 128GB 6GB Comet Grey India RMX5070 IN</t>
  </si>
  <si>
    <t>Realme P3 5G 128GB 8GB Comet Grey India RMX5070 IN</t>
  </si>
  <si>
    <t>Realme P3 5G 256GB 8GB Comet Grey India RMX5070 IN</t>
  </si>
  <si>
    <t>Realme P3 5G 128GB 6GB Nebula Pink India RMX5070 IN</t>
  </si>
  <si>
    <t>Realme P3 5G 128GB 8GB Nebula Pink India RMX5070 IN</t>
  </si>
  <si>
    <t>Realme P3 5G 256GB 8GB Nebula Pink India RMX5070 IN</t>
  </si>
  <si>
    <t>Realme P3 5G 128GB 6GB Space Silver India RMX5070 IN</t>
  </si>
  <si>
    <t>Realme P3 5G 128GB 8GB Space Silver India RMX5070 IN</t>
  </si>
  <si>
    <t>Realme P3 5G 256GB 8GB Space Silver India RMX5070 IN</t>
  </si>
  <si>
    <t>Realme Share %</t>
  </si>
  <si>
    <t>LC EMI: 3% to be borne by Realme only, rest by customer himself.</t>
  </si>
  <si>
    <t>Realme P3 Ultra 5G 128GB 8GB Neptune Blue India</t>
  </si>
  <si>
    <t>Realme P3 Ultra 5G 128GB 8GB Orion Red India</t>
  </si>
  <si>
    <t>Realme P3 Ultra 5G 128GB 8GB Glowing Lunar White India</t>
  </si>
  <si>
    <t>Realme P3 Ultra 5G 256GB 8GB Glowing Lunar White India</t>
  </si>
  <si>
    <t>Realme P3 Ultra 5G 256GB 8GB Orion Red India</t>
  </si>
  <si>
    <t>Realme P3 Ultra 5G 256GB 8GB Neptune Blue India</t>
  </si>
  <si>
    <t>Realme P3 Ultra 5G 256GB 12GB Neptune Blue India</t>
  </si>
  <si>
    <t>Realme P3 Ultra 5G 256GB 12GB Orion Red India</t>
  </si>
  <si>
    <t>Realme P3 Ultra 5G 256GB 12GB Glowing Lunar White India</t>
  </si>
  <si>
    <t>Realme 14T 5G 256GB 8GB Lightning Purple India</t>
  </si>
  <si>
    <t>Realme 14 T 5G</t>
  </si>
  <si>
    <t>Realme 14T 5G 128GB 8GB Surf Green India</t>
  </si>
  <si>
    <t>Realme 14T 5G 128GB 8GB Lightning Purple India</t>
  </si>
  <si>
    <t>Realme 14T 5G 256GB 8GB Obsidian Black India</t>
  </si>
  <si>
    <t>Realme 14T 5G 256GB 8GB Surf Green India</t>
  </si>
  <si>
    <t>Realme 14T 5G 128GB 8GB Obsidian Black India</t>
  </si>
  <si>
    <t>HDFC, IDFC, BOB, J&amp;K</t>
  </si>
  <si>
    <t>26th to 30th Apr'25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</si>
</sst>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7"/>
      <color rgb="FF000000"/>
      <name val="Arial"/>
      <family val="2"/>
    </font>
    <font>
      <b/>
      <sz val="7"/>
      <color rgb="FF000000"/>
      <name val="Arial"/>
      <family val="2"/>
    </font>
    <font>
      <b/>
      <sz val="10"/>
      <color rgb="FF000000"/>
      <name val="Arial"/>
      <family val="2"/>
    </font>
    <font>
      <b/>
      <sz val="8"/>
      <color rgb="FF000000"/>
      <name val="Arial"/>
      <family val="2"/>
    </font>
    <font>
      <sz val="9"/>
      <color rgb="FF000000"/>
      <name val="Arial"/>
      <family val="2"/>
    </font>
    <font>
      <sz val="8"/>
      <color rgb="FF000000"/>
      <name val="Arial"/>
      <family val="2"/>
    </font>
    <font>
      <sz val="12"/>
      <color rgb="FF000000"/>
      <name val="Arial"/>
      <family val="2"/>
    </font>
    <font>
      <b/>
      <sz val="12"/>
      <color rgb="FF000000"/>
      <name val="Arial"/>
      <family val="2"/>
    </font>
    <font>
      <sz val="12"/>
      <color rgb="FF222222"/>
      <name val="Arial"/>
      <family val="2"/>
    </font>
    <font>
      <sz val="10"/>
      <color rgb="FF000000"/>
      <name val="Arial"/>
      <family val="2"/>
    </font>
    <font>
      <sz val="12"/>
      <color rgb="FFFF0000"/>
      <name val="Arial"/>
      <family val="2"/>
    </font>
    <font>
      <sz val="9"/>
      <color rgb="FF9C0006"/>
      <name val="Arial"/>
      <family val="2"/>
    </font>
    <font>
      <sz val="7"/>
      <color rgb="FFFF0000"/>
      <name val="Arial"/>
      <family val="2"/>
    </font>
    <font>
      <sz val="12"/>
      <color theme="1"/>
      <name val="Times New Roman"/>
      <family val="1"/>
    </font>
    <font>
      <sz val="12"/>
      <color rgb="FF000000"/>
      <name val="Aptos"/>
      <family val="2"/>
    </font>
    <font>
      <b/>
      <sz val="12"/>
      <color rgb="FF000000"/>
      <name val="Aptos"/>
      <family val="2"/>
    </font>
    <font>
      <b/>
      <sz val="11"/>
      <color rgb="FF000000"/>
      <name val="Calibri"/>
      <family val="2"/>
    </font>
    <font>
      <sz val="11"/>
      <color rgb="FF000000"/>
      <name val="Calibri"/>
      <family val="2"/>
    </font>
    <font>
      <sz val="11"/>
      <color theme="1"/>
      <name val="Calibri"/>
      <family val="2"/>
    </font>
    <font>
      <b/>
      <sz val="14"/>
      <color rgb="FF000000"/>
      <name val="SimSun"/>
    </font>
    <font>
      <sz val="22"/>
      <color theme="0"/>
      <name val="Arial"/>
      <family val="2"/>
    </font>
  </fonts>
  <fills count="18">
    <fill>
      <patternFill patternType="none"/>
    </fill>
    <fill>
      <patternFill patternType="gray125"/>
    </fill>
    <fill>
      <patternFill patternType="solid">
        <fgColor rgb="FFFFD966"/>
        <bgColor indexed="64"/>
      </patternFill>
    </fill>
    <fill>
      <patternFill patternType="solid">
        <fgColor rgb="FFDDEBF7"/>
        <bgColor indexed="64"/>
      </patternFill>
    </fill>
    <fill>
      <patternFill patternType="solid">
        <fgColor rgb="FFFFFFFF"/>
        <bgColor indexed="64"/>
      </patternFill>
    </fill>
    <fill>
      <patternFill patternType="solid">
        <fgColor rgb="FFD9E1F2"/>
        <bgColor indexed="64"/>
      </patternFill>
    </fill>
    <fill>
      <patternFill patternType="solid">
        <fgColor rgb="FFFFFF00"/>
        <bgColor indexed="64"/>
      </patternFill>
    </fill>
    <fill>
      <patternFill patternType="solid">
        <fgColor rgb="FFFFF2CC"/>
        <bgColor indexed="64"/>
      </patternFill>
    </fill>
    <fill>
      <patternFill patternType="solid">
        <fgColor rgb="FFD6DCE4"/>
        <bgColor indexed="64"/>
      </patternFill>
    </fill>
    <fill>
      <patternFill patternType="solid">
        <fgColor rgb="FFF4B084"/>
        <bgColor indexed="64"/>
      </patternFill>
    </fill>
    <fill>
      <patternFill patternType="solid">
        <fgColor rgb="FFE2EFDA"/>
        <bgColor indexed="64"/>
      </patternFill>
    </fill>
    <fill>
      <patternFill patternType="solid">
        <fgColor rgb="FFF8CBAD"/>
        <bgColor indexed="64"/>
      </patternFill>
    </fill>
    <fill>
      <patternFill patternType="solid">
        <fgColor rgb="FFD0CECE"/>
        <bgColor indexed="64"/>
      </patternFill>
    </fill>
    <fill>
      <patternFill patternType="solid">
        <fgColor rgb="FFFFE699"/>
        <bgColor indexed="64"/>
      </patternFill>
    </fill>
    <fill>
      <patternFill patternType="solid">
        <fgColor rgb="FFFFC7CE"/>
        <bgColor indexed="64"/>
      </patternFill>
    </fill>
    <fill>
      <patternFill patternType="solid">
        <fgColor rgb="FFC0C0C0"/>
        <bgColor indexed="64"/>
      </patternFill>
    </fill>
    <fill>
      <patternFill patternType="solid">
        <fgColor theme="9" tint="-0.249977111117893"/>
        <bgColor indexed="64"/>
      </patternFill>
    </fill>
    <fill>
      <patternFill patternType="solid">
        <fgColor rgb="FFFCE4D6"/>
        <bgColor indexed="64"/>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dotted">
        <color indexed="64"/>
      </right>
      <top/>
      <bottom style="dotted">
        <color indexed="64"/>
      </bottom>
      <diagonal/>
    </border>
    <border>
      <left/>
      <right/>
      <top/>
      <bottom style="dotted">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style="dotted">
        <color indexed="64"/>
      </right>
      <top/>
      <bottom style="dotted">
        <color indexed="64"/>
      </bottom>
      <diagonal/>
    </border>
    <border>
      <left/>
      <right/>
      <top style="medium">
        <color indexed="64"/>
      </top>
      <bottom/>
      <diagonal/>
    </border>
    <border>
      <left/>
      <right style="medium">
        <color rgb="FF000000"/>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rgb="FF000000"/>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s>
  <cellStyleXfs count="1">
    <xf numFmtId="0" fontId="0" fillId="0" borderId="0"/>
  </cellStyleXfs>
  <cellXfs count="134">
    <xf numFmtId="0" fontId="0" fillId="0" borderId="0" xfId="0"/>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4" xfId="0" applyFont="1" applyBorder="1" applyAlignment="1">
      <alignment horizontal="center" vertical="center"/>
    </xf>
    <xf numFmtId="0" fontId="5" fillId="4" borderId="4" xfId="0" applyFont="1" applyFill="1" applyBorder="1" applyAlignment="1">
      <alignment horizontal="center" vertical="center"/>
    </xf>
    <xf numFmtId="0" fontId="6" fillId="4" borderId="4" xfId="0" applyFont="1" applyFill="1" applyBorder="1" applyAlignment="1">
      <alignment horizontal="center" vertical="center"/>
    </xf>
    <xf numFmtId="0" fontId="5" fillId="4" borderId="3"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3" xfId="0" applyFont="1" applyFill="1" applyBorder="1" applyAlignment="1">
      <alignment horizontal="center" vertical="center"/>
    </xf>
    <xf numFmtId="0" fontId="7" fillId="0" borderId="0" xfId="0" applyFont="1" applyAlignment="1">
      <alignment vertical="center" wrapText="1"/>
    </xf>
    <xf numFmtId="1" fontId="5" fillId="0" borderId="4" xfId="0" applyNumberFormat="1" applyFont="1" applyBorder="1" applyAlignment="1">
      <alignment horizontal="center" vertical="center"/>
    </xf>
    <xf numFmtId="1" fontId="5" fillId="4" borderId="4" xfId="0" applyNumberFormat="1"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2" fillId="6" borderId="8" xfId="0" applyFont="1" applyFill="1" applyBorder="1" applyAlignment="1">
      <alignment horizontal="center" vertical="center"/>
    </xf>
    <xf numFmtId="0" fontId="6" fillId="4" borderId="9" xfId="0" applyFont="1" applyFill="1" applyBorder="1" applyAlignment="1">
      <alignment horizontal="center" vertical="center"/>
    </xf>
    <xf numFmtId="0" fontId="1" fillId="0" borderId="0" xfId="0" applyFont="1"/>
    <xf numFmtId="1" fontId="6" fillId="4" borderId="5" xfId="0" applyNumberFormat="1" applyFont="1" applyFill="1" applyBorder="1" applyAlignment="1">
      <alignment horizontal="center" vertical="center"/>
    </xf>
    <xf numFmtId="0" fontId="1" fillId="5" borderId="8" xfId="0" applyFont="1" applyFill="1" applyBorder="1" applyAlignment="1">
      <alignment horizontal="center" vertical="center"/>
    </xf>
    <xf numFmtId="0" fontId="1" fillId="0" borderId="7"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9" fontId="1" fillId="0" borderId="4" xfId="0" applyNumberFormat="1" applyFont="1" applyBorder="1" applyAlignment="1">
      <alignment horizontal="center" vertical="center"/>
    </xf>
    <xf numFmtId="0" fontId="8" fillId="8" borderId="7" xfId="0" applyFont="1" applyFill="1" applyBorder="1" applyAlignment="1">
      <alignment horizontal="center" vertical="center"/>
    </xf>
    <xf numFmtId="0" fontId="8" fillId="8" borderId="8"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7" fillId="4" borderId="4" xfId="0" applyFont="1" applyFill="1" applyBorder="1" applyAlignment="1">
      <alignment vertical="center"/>
    </xf>
    <xf numFmtId="0" fontId="9" fillId="4" borderId="0" xfId="0" applyFont="1" applyFill="1" applyAlignment="1">
      <alignment vertical="center"/>
    </xf>
    <xf numFmtId="0" fontId="9" fillId="0" borderId="0" xfId="0" applyFont="1" applyAlignment="1">
      <alignment vertical="center"/>
    </xf>
    <xf numFmtId="0" fontId="7" fillId="7" borderId="7" xfId="0" applyFont="1" applyFill="1" applyBorder="1" applyAlignment="1">
      <alignment horizontal="center" vertical="center"/>
    </xf>
    <xf numFmtId="0" fontId="7" fillId="7" borderId="8" xfId="0" applyFont="1" applyFill="1" applyBorder="1" applyAlignment="1">
      <alignment horizontal="center" vertical="center"/>
    </xf>
    <xf numFmtId="0" fontId="7" fillId="9" borderId="8" xfId="0" applyFont="1" applyFill="1" applyBorder="1" applyAlignment="1">
      <alignment horizontal="center" vertical="center"/>
    </xf>
    <xf numFmtId="3" fontId="10" fillId="4" borderId="4" xfId="0" applyNumberFormat="1" applyFont="1" applyFill="1" applyBorder="1" applyAlignment="1">
      <alignment horizontal="center" vertical="center"/>
    </xf>
    <xf numFmtId="0" fontId="8" fillId="4" borderId="4" xfId="0" applyFont="1" applyFill="1" applyBorder="1" applyAlignment="1">
      <alignment horizontal="center" vertical="center"/>
    </xf>
    <xf numFmtId="3" fontId="7" fillId="9" borderId="4" xfId="0" applyNumberFormat="1" applyFont="1" applyFill="1" applyBorder="1" applyAlignment="1">
      <alignment horizontal="center" vertical="center"/>
    </xf>
    <xf numFmtId="0" fontId="7" fillId="4" borderId="4" xfId="0" applyFont="1" applyFill="1" applyBorder="1" applyAlignment="1">
      <alignment horizontal="center" vertical="center"/>
    </xf>
    <xf numFmtId="0" fontId="10" fillId="4" borderId="3" xfId="0" applyFont="1" applyFill="1" applyBorder="1" applyAlignment="1">
      <alignment vertical="center"/>
    </xf>
    <xf numFmtId="1" fontId="10" fillId="4" borderId="4" xfId="0" applyNumberFormat="1" applyFont="1" applyFill="1" applyBorder="1" applyAlignment="1">
      <alignment horizontal="center" vertical="center"/>
    </xf>
    <xf numFmtId="0" fontId="5" fillId="7" borderId="3" xfId="0" applyFont="1" applyFill="1" applyBorder="1" applyAlignment="1">
      <alignment horizontal="center" vertical="center"/>
    </xf>
    <xf numFmtId="0" fontId="5" fillId="10" borderId="3" xfId="0" applyFont="1" applyFill="1" applyBorder="1" applyAlignment="1">
      <alignment horizontal="center" vertical="center"/>
    </xf>
    <xf numFmtId="0" fontId="5" fillId="11" borderId="3" xfId="0" applyFont="1" applyFill="1" applyBorder="1" applyAlignment="1">
      <alignment horizontal="center" vertical="center"/>
    </xf>
    <xf numFmtId="0" fontId="5" fillId="12" borderId="3" xfId="0" applyFont="1" applyFill="1" applyBorder="1" applyAlignment="1">
      <alignment horizontal="center" vertical="center"/>
    </xf>
    <xf numFmtId="0" fontId="11" fillId="0" borderId="0" xfId="0" applyFont="1" applyAlignment="1">
      <alignment vertical="center" wrapText="1"/>
    </xf>
    <xf numFmtId="0" fontId="8" fillId="0" borderId="0" xfId="0" applyFont="1" applyAlignment="1">
      <alignment vertical="center"/>
    </xf>
    <xf numFmtId="0" fontId="9" fillId="0" borderId="0" xfId="0" applyFont="1" applyAlignment="1">
      <alignment vertical="center" wrapText="1"/>
    </xf>
    <xf numFmtId="0" fontId="4" fillId="6" borderId="8" xfId="0" applyFont="1" applyFill="1" applyBorder="1" applyAlignment="1">
      <alignment horizontal="center" vertical="center"/>
    </xf>
    <xf numFmtId="0" fontId="5" fillId="6" borderId="4" xfId="0" applyFont="1" applyFill="1" applyBorder="1" applyAlignment="1">
      <alignment horizontal="center" vertical="center"/>
    </xf>
    <xf numFmtId="0" fontId="9" fillId="4" borderId="0" xfId="0" applyFont="1" applyFill="1"/>
    <xf numFmtId="0" fontId="7" fillId="4" borderId="7" xfId="0" applyFont="1" applyFill="1" applyBorder="1" applyAlignment="1">
      <alignment horizontal="center" vertical="center"/>
    </xf>
    <xf numFmtId="0" fontId="7" fillId="4" borderId="3" xfId="0" applyFont="1" applyFill="1" applyBorder="1" applyAlignment="1">
      <alignment horizontal="center" vertical="center"/>
    </xf>
    <xf numFmtId="9" fontId="7" fillId="4" borderId="4" xfId="0" applyNumberFormat="1" applyFont="1" applyFill="1" applyBorder="1" applyAlignment="1">
      <alignment horizontal="center" vertical="center"/>
    </xf>
    <xf numFmtId="0" fontId="7" fillId="5" borderId="0" xfId="0" applyFont="1" applyFill="1" applyAlignment="1">
      <alignment horizontal="center" vertical="center"/>
    </xf>
    <xf numFmtId="0" fontId="7" fillId="4" borderId="0" xfId="0" applyFont="1" applyFill="1" applyAlignment="1">
      <alignment horizontal="center" vertical="center"/>
    </xf>
    <xf numFmtId="9" fontId="7" fillId="4" borderId="0" xfId="0" applyNumberFormat="1" applyFont="1" applyFill="1" applyAlignment="1">
      <alignment horizontal="center" vertical="center"/>
    </xf>
    <xf numFmtId="0" fontId="0" fillId="4" borderId="0" xfId="0" applyFill="1"/>
    <xf numFmtId="0" fontId="8" fillId="6" borderId="7" xfId="0" applyFont="1" applyFill="1" applyBorder="1" applyAlignment="1">
      <alignment horizontal="center" vertical="center"/>
    </xf>
    <xf numFmtId="0" fontId="8" fillId="6" borderId="8" xfId="0" applyFont="1" applyFill="1" applyBorder="1" applyAlignment="1">
      <alignment horizontal="center" vertical="center"/>
    </xf>
    <xf numFmtId="0" fontId="5" fillId="13" borderId="4" xfId="0" applyFont="1" applyFill="1" applyBorder="1" applyAlignment="1">
      <alignment horizontal="center" vertical="center"/>
    </xf>
    <xf numFmtId="0" fontId="7" fillId="7" borderId="4" xfId="0" applyFont="1" applyFill="1" applyBorder="1" applyAlignment="1">
      <alignment horizontal="center" vertical="center"/>
    </xf>
    <xf numFmtId="0" fontId="0" fillId="7" borderId="0" xfId="0" applyFill="1" applyAlignment="1">
      <alignment horizontal="center" vertical="center"/>
    </xf>
    <xf numFmtId="0" fontId="7" fillId="7" borderId="0" xfId="0" applyFont="1" applyFill="1" applyAlignment="1">
      <alignment horizontal="center" vertical="center"/>
    </xf>
    <xf numFmtId="0" fontId="5" fillId="5" borderId="3" xfId="0" applyFont="1" applyFill="1" applyBorder="1" applyAlignment="1">
      <alignment horizontal="center" vertical="center"/>
    </xf>
    <xf numFmtId="9" fontId="0" fillId="0" borderId="0" xfId="0" applyNumberFormat="1"/>
    <xf numFmtId="0" fontId="13" fillId="0" borderId="0" xfId="0" applyFont="1" applyAlignment="1">
      <alignment vertical="center"/>
    </xf>
    <xf numFmtId="1" fontId="12" fillId="14" borderId="4" xfId="0" applyNumberFormat="1" applyFont="1" applyFill="1" applyBorder="1" applyAlignment="1">
      <alignment horizontal="center" vertical="center"/>
    </xf>
    <xf numFmtId="0" fontId="14" fillId="0" borderId="0" xfId="0" applyFont="1" applyAlignment="1">
      <alignment vertical="center"/>
    </xf>
    <xf numFmtId="0" fontId="15" fillId="0" borderId="0" xfId="0" applyFont="1" applyAlignment="1">
      <alignment vertical="center"/>
    </xf>
    <xf numFmtId="0" fontId="16" fillId="6" borderId="7" xfId="0" applyFont="1" applyFill="1" applyBorder="1" applyAlignment="1">
      <alignment horizontal="center" vertical="center" wrapText="1"/>
    </xf>
    <xf numFmtId="0" fontId="16" fillId="6" borderId="8" xfId="0" applyFont="1" applyFill="1" applyBorder="1" applyAlignment="1">
      <alignment horizontal="center" vertical="center" wrapText="1"/>
    </xf>
    <xf numFmtId="0" fontId="15" fillId="4" borderId="3" xfId="0" applyFont="1" applyFill="1" applyBorder="1" applyAlignment="1">
      <alignment vertical="center" wrapText="1"/>
    </xf>
    <xf numFmtId="0" fontId="15" fillId="4" borderId="4" xfId="0" applyFont="1" applyFill="1" applyBorder="1" applyAlignment="1">
      <alignment horizontal="center" vertical="center" wrapText="1"/>
    </xf>
    <xf numFmtId="0" fontId="15" fillId="13" borderId="4" xfId="0" applyFont="1" applyFill="1" applyBorder="1" applyAlignment="1">
      <alignment horizontal="center" vertical="center" wrapText="1"/>
    </xf>
    <xf numFmtId="0" fontId="15" fillId="0" borderId="4" xfId="0" applyFont="1" applyBorder="1" applyAlignment="1">
      <alignment horizontal="center" vertical="center"/>
    </xf>
    <xf numFmtId="0" fontId="15" fillId="6" borderId="4" xfId="0" applyFont="1" applyFill="1" applyBorder="1" applyAlignment="1">
      <alignment horizontal="center" vertical="center" wrapText="1"/>
    </xf>
    <xf numFmtId="0" fontId="19" fillId="0" borderId="0" xfId="0" applyFont="1" applyAlignment="1">
      <alignment vertical="center"/>
    </xf>
    <xf numFmtId="0" fontId="17" fillId="6" borderId="7" xfId="0" applyFont="1" applyFill="1" applyBorder="1" applyAlignment="1">
      <alignment horizontal="center" vertical="center" wrapText="1"/>
    </xf>
    <xf numFmtId="0" fontId="17" fillId="6" borderId="8" xfId="0" applyFont="1" applyFill="1" applyBorder="1" applyAlignment="1">
      <alignment horizontal="center" vertical="center" wrapText="1"/>
    </xf>
    <xf numFmtId="0" fontId="18" fillId="0" borderId="3" xfId="0" applyFont="1" applyBorder="1" applyAlignment="1">
      <alignment vertical="center" wrapText="1"/>
    </xf>
    <xf numFmtId="0" fontId="18" fillId="0" borderId="4" xfId="0" applyFont="1" applyBorder="1" applyAlignment="1">
      <alignment horizontal="center" vertical="center" wrapText="1"/>
    </xf>
    <xf numFmtId="0" fontId="18" fillId="13" borderId="4" xfId="0" applyFont="1" applyFill="1" applyBorder="1" applyAlignment="1">
      <alignment horizontal="center" vertical="center" wrapText="1"/>
    </xf>
    <xf numFmtId="10" fontId="0" fillId="0" borderId="0" xfId="0" applyNumberFormat="1"/>
    <xf numFmtId="1" fontId="0" fillId="0" borderId="0" xfId="0" applyNumberFormat="1"/>
    <xf numFmtId="0" fontId="20" fillId="15" borderId="7" xfId="0" applyFont="1" applyFill="1" applyBorder="1" applyAlignment="1">
      <alignment horizontal="center" vertical="center"/>
    </xf>
    <xf numFmtId="0" fontId="20" fillId="15" borderId="8" xfId="0" applyFont="1" applyFill="1" applyBorder="1" applyAlignment="1">
      <alignment horizontal="center" vertical="center"/>
    </xf>
    <xf numFmtId="0" fontId="7" fillId="4" borderId="0" xfId="0" applyFont="1" applyFill="1" applyAlignment="1">
      <alignment vertical="center"/>
    </xf>
    <xf numFmtId="0" fontId="20" fillId="7" borderId="8" xfId="0" applyFont="1" applyFill="1" applyBorder="1" applyAlignment="1">
      <alignment horizontal="center" vertical="center"/>
    </xf>
    <xf numFmtId="1" fontId="7" fillId="4" borderId="4" xfId="0" applyNumberFormat="1" applyFont="1" applyFill="1" applyBorder="1" applyAlignment="1">
      <alignment horizontal="center" vertical="center"/>
    </xf>
    <xf numFmtId="0" fontId="8" fillId="4" borderId="3" xfId="0" applyFont="1" applyFill="1" applyBorder="1" applyAlignment="1">
      <alignment horizontal="center" vertical="center"/>
    </xf>
    <xf numFmtId="0" fontId="7" fillId="6" borderId="3" xfId="0" applyFont="1" applyFill="1" applyBorder="1" applyAlignment="1">
      <alignment horizontal="center" vertical="center"/>
    </xf>
    <xf numFmtId="0" fontId="7" fillId="4" borderId="4" xfId="0" applyFont="1" applyFill="1" applyBorder="1" applyAlignment="1">
      <alignment horizontal="center" vertical="center" wrapText="1"/>
    </xf>
    <xf numFmtId="0" fontId="5" fillId="17" borderId="3"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1" fillId="7" borderId="1" xfId="0" applyFont="1" applyFill="1" applyBorder="1" applyAlignment="1">
      <alignment horizontal="center" vertical="center"/>
    </xf>
    <xf numFmtId="0" fontId="1" fillId="7" borderId="8" xfId="0" applyFont="1" applyFill="1" applyBorder="1" applyAlignment="1">
      <alignment horizontal="center" vertical="center"/>
    </xf>
    <xf numFmtId="0" fontId="9" fillId="4" borderId="10" xfId="0" applyFont="1" applyFill="1" applyBorder="1" applyAlignment="1">
      <alignment vertical="center"/>
    </xf>
    <xf numFmtId="0" fontId="9" fillId="4" borderId="0" xfId="0" applyFont="1" applyFill="1" applyAlignment="1">
      <alignment vertical="center"/>
    </xf>
    <xf numFmtId="0" fontId="11" fillId="4" borderId="0" xfId="0" applyFont="1" applyFill="1" applyAlignment="1">
      <alignment vertical="center"/>
    </xf>
    <xf numFmtId="0" fontId="11" fillId="4" borderId="10" xfId="0" applyFont="1" applyFill="1" applyBorder="1" applyAlignment="1">
      <alignment vertical="center"/>
    </xf>
    <xf numFmtId="0" fontId="10" fillId="4" borderId="1" xfId="0" applyFont="1" applyFill="1" applyBorder="1" applyAlignment="1">
      <alignment horizontal="center" vertical="center"/>
    </xf>
    <xf numFmtId="0" fontId="10" fillId="4" borderId="8" xfId="0" applyFont="1" applyFill="1" applyBorder="1" applyAlignment="1">
      <alignment horizontal="center" vertical="center"/>
    </xf>
    <xf numFmtId="0" fontId="8" fillId="8" borderId="1" xfId="0" applyFont="1" applyFill="1" applyBorder="1" applyAlignment="1">
      <alignment horizontal="center" vertical="center"/>
    </xf>
    <xf numFmtId="0" fontId="8" fillId="8" borderId="8"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11" xfId="0" applyFont="1" applyFill="1" applyBorder="1" applyAlignment="1">
      <alignment horizontal="center" vertical="center"/>
    </xf>
    <xf numFmtId="0" fontId="7" fillId="7" borderId="1" xfId="0" applyFont="1" applyFill="1" applyBorder="1" applyAlignment="1">
      <alignment horizontal="center" vertical="center"/>
    </xf>
    <xf numFmtId="0" fontId="7" fillId="7" borderId="8"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11" xfId="0" applyFont="1" applyFill="1" applyBorder="1" applyAlignment="1">
      <alignment horizontal="center" vertical="center"/>
    </xf>
    <xf numFmtId="0" fontId="0" fillId="7" borderId="12" xfId="0" applyFill="1" applyBorder="1" applyAlignment="1">
      <alignment horizontal="center" vertical="center"/>
    </xf>
    <xf numFmtId="0" fontId="0" fillId="7" borderId="13" xfId="0" applyFill="1" applyBorder="1" applyAlignment="1">
      <alignment horizontal="center" vertical="center"/>
    </xf>
    <xf numFmtId="0" fontId="7" fillId="7" borderId="14" xfId="0" applyFont="1" applyFill="1" applyBorder="1" applyAlignment="1">
      <alignment horizontal="center" vertical="center"/>
    </xf>
    <xf numFmtId="0" fontId="7" fillId="7" borderId="4" xfId="0" applyFont="1" applyFill="1" applyBorder="1" applyAlignment="1">
      <alignment horizontal="center" vertical="center"/>
    </xf>
    <xf numFmtId="0" fontId="1" fillId="7" borderId="11" xfId="0" applyFont="1" applyFill="1" applyBorder="1" applyAlignment="1">
      <alignment horizontal="center" vertical="center"/>
    </xf>
    <xf numFmtId="0" fontId="1" fillId="5" borderId="15" xfId="0" applyFont="1" applyFill="1" applyBorder="1" applyAlignment="1">
      <alignment horizontal="center" vertical="center"/>
    </xf>
    <xf numFmtId="0" fontId="13" fillId="0" borderId="0" xfId="0" applyFont="1" applyAlignment="1">
      <alignment vertical="center"/>
    </xf>
    <xf numFmtId="0" fontId="1" fillId="5" borderId="8" xfId="0" applyFont="1" applyFill="1" applyBorder="1" applyAlignment="1">
      <alignment horizontal="center" vertical="center"/>
    </xf>
    <xf numFmtId="0" fontId="1" fillId="0" borderId="1" xfId="0" applyFont="1" applyBorder="1" applyAlignment="1">
      <alignment horizontal="center" vertical="center"/>
    </xf>
    <xf numFmtId="0" fontId="1" fillId="0" borderId="11" xfId="0" applyFont="1" applyBorder="1" applyAlignment="1">
      <alignment horizontal="center" vertical="center"/>
    </xf>
    <xf numFmtId="0" fontId="18" fillId="0" borderId="20"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3" xfId="0" applyFont="1" applyBorder="1" applyAlignment="1">
      <alignment horizontal="center" vertical="center" wrapText="1"/>
    </xf>
    <xf numFmtId="0" fontId="21" fillId="16" borderId="16" xfId="0" applyFont="1" applyFill="1" applyBorder="1" applyAlignment="1">
      <alignment horizontal="center" vertical="center" wrapText="1"/>
    </xf>
    <xf numFmtId="0" fontId="21" fillId="16" borderId="0" xfId="0" applyFont="1" applyFill="1" applyAlignment="1">
      <alignment horizontal="center" vertical="center" wrapText="1"/>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11" xfId="0" applyFont="1" applyFill="1" applyBorder="1" applyAlignment="1">
      <alignment horizontal="center" vertical="center"/>
    </xf>
  </cellXfs>
  <cellStyles count="1">
    <cellStyle name="Normal"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09BC6-7D9A-43C0-8629-ABC6FE07D995}">
  <dimension ref="A1:G218"/>
  <sheetViews>
    <sheetView tabSelected="1" workbookViewId="0">
      <selection activeCell="A162" sqref="A162"/>
    </sheetView>
  </sheetViews>
  <sheetFormatPr defaultRowHeight="14.5" x14ac:dyDescent="0.35"/>
  <cols>
    <col min="1" max="1" width="68.7265625" bestFit="1" customWidth="1"/>
    <col min="2" max="2" width="15" bestFit="1" customWidth="1"/>
    <col min="3" max="3" width="5.36328125" bestFit="1" customWidth="1"/>
    <col min="4" max="4" width="38.54296875" bestFit="1" customWidth="1"/>
    <col min="5" max="5" width="45.7265625" bestFit="1" customWidth="1"/>
    <col min="6" max="6" width="14.26953125" bestFit="1" customWidth="1"/>
    <col min="7" max="7" width="15.36328125" bestFit="1" customWidth="1"/>
  </cols>
  <sheetData>
    <row r="1" spans="1:7" ht="15" thickBot="1" x14ac:dyDescent="0.4">
      <c r="A1" s="95" t="s">
        <v>0</v>
      </c>
      <c r="B1" s="96"/>
      <c r="C1" s="96"/>
      <c r="D1" s="96"/>
      <c r="E1" s="96"/>
      <c r="F1" s="96"/>
      <c r="G1" s="96"/>
    </row>
    <row r="2" spans="1:7" ht="15" thickBot="1" x14ac:dyDescent="0.4">
      <c r="A2" s="1" t="s">
        <v>1</v>
      </c>
      <c r="B2" s="2" t="s">
        <v>2</v>
      </c>
      <c r="C2" s="2" t="s">
        <v>3</v>
      </c>
      <c r="D2" s="2" t="s">
        <v>4</v>
      </c>
      <c r="E2" s="2" t="s">
        <v>5</v>
      </c>
      <c r="F2" s="2" t="s">
        <v>6</v>
      </c>
      <c r="G2" s="2" t="s">
        <v>7</v>
      </c>
    </row>
    <row r="3" spans="1:7" ht="15" thickBot="1" x14ac:dyDescent="0.4">
      <c r="A3" s="3" t="s">
        <v>207</v>
      </c>
      <c r="B3" s="13">
        <v>6941764420090</v>
      </c>
      <c r="C3" s="4">
        <v>19999</v>
      </c>
      <c r="D3" s="5" t="s">
        <v>8</v>
      </c>
      <c r="E3" s="5" t="s">
        <v>8</v>
      </c>
      <c r="F3" s="4" t="s">
        <v>9</v>
      </c>
      <c r="G3" s="6" t="s">
        <v>10</v>
      </c>
    </row>
    <row r="4" spans="1:7" ht="15" thickBot="1" x14ac:dyDescent="0.4">
      <c r="A4" s="3" t="s">
        <v>208</v>
      </c>
      <c r="B4" s="13">
        <v>6941764420083</v>
      </c>
      <c r="C4" s="4">
        <v>19999</v>
      </c>
      <c r="D4" s="5" t="s">
        <v>8</v>
      </c>
      <c r="E4" s="5" t="s">
        <v>8</v>
      </c>
      <c r="F4" s="4" t="s">
        <v>9</v>
      </c>
      <c r="G4" s="6" t="s">
        <v>10</v>
      </c>
    </row>
    <row r="5" spans="1:7" ht="15" thickBot="1" x14ac:dyDescent="0.4">
      <c r="A5" s="3" t="s">
        <v>209</v>
      </c>
      <c r="B5" s="13">
        <v>6941764420076</v>
      </c>
      <c r="C5" s="4">
        <v>16999</v>
      </c>
      <c r="D5" s="5" t="s">
        <v>8</v>
      </c>
      <c r="E5" s="5" t="s">
        <v>8</v>
      </c>
      <c r="F5" s="4" t="s">
        <v>9</v>
      </c>
      <c r="G5" s="6" t="s">
        <v>10</v>
      </c>
    </row>
    <row r="6" spans="1:7" ht="15" thickBot="1" x14ac:dyDescent="0.4">
      <c r="A6" s="3" t="s">
        <v>210</v>
      </c>
      <c r="B6" s="13">
        <v>6941764420069</v>
      </c>
      <c r="C6" s="4">
        <v>16999</v>
      </c>
      <c r="D6" s="5" t="s">
        <v>8</v>
      </c>
      <c r="E6" s="5" t="s">
        <v>8</v>
      </c>
      <c r="F6" s="4" t="s">
        <v>9</v>
      </c>
      <c r="G6" s="6" t="s">
        <v>10</v>
      </c>
    </row>
    <row r="7" spans="1:7" ht="15" thickBot="1" x14ac:dyDescent="0.4">
      <c r="A7" s="3" t="s">
        <v>211</v>
      </c>
      <c r="B7" s="13">
        <v>6941764420519</v>
      </c>
      <c r="C7" s="4">
        <v>15999</v>
      </c>
      <c r="D7" s="7" t="s">
        <v>8</v>
      </c>
      <c r="E7" s="5" t="s">
        <v>8</v>
      </c>
      <c r="F7" s="4" t="s">
        <v>9</v>
      </c>
      <c r="G7" s="6" t="s">
        <v>10</v>
      </c>
    </row>
    <row r="8" spans="1:7" ht="15" thickBot="1" x14ac:dyDescent="0.4">
      <c r="A8" s="3" t="s">
        <v>212</v>
      </c>
      <c r="B8" s="13">
        <v>6941764420502</v>
      </c>
      <c r="C8" s="4">
        <v>15999</v>
      </c>
      <c r="D8" s="7" t="s">
        <v>8</v>
      </c>
      <c r="E8" s="5" t="s">
        <v>8</v>
      </c>
      <c r="F8" s="4" t="s">
        <v>9</v>
      </c>
      <c r="G8" s="6" t="s">
        <v>10</v>
      </c>
    </row>
    <row r="9" spans="1:7" ht="15" thickBot="1" x14ac:dyDescent="0.4">
      <c r="A9" s="3" t="s">
        <v>213</v>
      </c>
      <c r="B9" s="13">
        <v>6941764415980</v>
      </c>
      <c r="C9" s="4">
        <v>23999</v>
      </c>
      <c r="D9" s="5" t="s">
        <v>8</v>
      </c>
      <c r="E9" s="5" t="s">
        <v>8</v>
      </c>
      <c r="F9" s="4" t="s">
        <v>9</v>
      </c>
      <c r="G9" s="6" t="s">
        <v>10</v>
      </c>
    </row>
    <row r="10" spans="1:7" ht="15" thickBot="1" x14ac:dyDescent="0.4">
      <c r="A10" s="3" t="s">
        <v>214</v>
      </c>
      <c r="B10" s="13">
        <v>6941764416048</v>
      </c>
      <c r="C10" s="4">
        <v>23999</v>
      </c>
      <c r="D10" s="5" t="s">
        <v>8</v>
      </c>
      <c r="E10" s="5" t="s">
        <v>8</v>
      </c>
      <c r="F10" s="4" t="s">
        <v>9</v>
      </c>
      <c r="G10" s="6" t="s">
        <v>10</v>
      </c>
    </row>
    <row r="11" spans="1:7" ht="15" thickBot="1" x14ac:dyDescent="0.4">
      <c r="A11" s="3" t="s">
        <v>215</v>
      </c>
      <c r="B11" s="13">
        <v>6941764416024</v>
      </c>
      <c r="C11" s="4">
        <v>23999</v>
      </c>
      <c r="D11" s="5" t="s">
        <v>8</v>
      </c>
      <c r="E11" s="5" t="s">
        <v>8</v>
      </c>
      <c r="F11" s="4" t="s">
        <v>9</v>
      </c>
      <c r="G11" s="6" t="s">
        <v>10</v>
      </c>
    </row>
    <row r="12" spans="1:7" ht="15" thickBot="1" x14ac:dyDescent="0.4">
      <c r="A12" s="3" t="s">
        <v>216</v>
      </c>
      <c r="B12" s="13">
        <v>6941764415997</v>
      </c>
      <c r="C12" s="4">
        <v>24999</v>
      </c>
      <c r="D12" s="5" t="s">
        <v>8</v>
      </c>
      <c r="E12" s="5" t="s">
        <v>8</v>
      </c>
      <c r="F12" s="4" t="s">
        <v>9</v>
      </c>
      <c r="G12" s="6" t="s">
        <v>10</v>
      </c>
    </row>
    <row r="13" spans="1:7" ht="15" thickBot="1" x14ac:dyDescent="0.4">
      <c r="A13" s="3" t="s">
        <v>217</v>
      </c>
      <c r="B13" s="13">
        <v>6941764416055</v>
      </c>
      <c r="C13" s="4">
        <v>24999</v>
      </c>
      <c r="D13" s="5" t="s">
        <v>8</v>
      </c>
      <c r="E13" s="5" t="s">
        <v>8</v>
      </c>
      <c r="F13" s="4" t="s">
        <v>9</v>
      </c>
      <c r="G13" s="6" t="s">
        <v>10</v>
      </c>
    </row>
    <row r="14" spans="1:7" ht="15" thickBot="1" x14ac:dyDescent="0.4">
      <c r="A14" s="3" t="s">
        <v>218</v>
      </c>
      <c r="B14" s="13">
        <v>6941764416017</v>
      </c>
      <c r="C14" s="4">
        <v>24999</v>
      </c>
      <c r="D14" s="5" t="s">
        <v>8</v>
      </c>
      <c r="E14" s="5" t="s">
        <v>8</v>
      </c>
      <c r="F14" s="4" t="s">
        <v>9</v>
      </c>
      <c r="G14" s="6" t="s">
        <v>10</v>
      </c>
    </row>
    <row r="15" spans="1:7" ht="15" thickBot="1" x14ac:dyDescent="0.4">
      <c r="A15" s="3" t="s">
        <v>219</v>
      </c>
      <c r="B15" s="13">
        <v>6941764416154</v>
      </c>
      <c r="C15" s="4">
        <v>27999</v>
      </c>
      <c r="D15" s="5" t="s">
        <v>8</v>
      </c>
      <c r="E15" s="5" t="s">
        <v>8</v>
      </c>
      <c r="F15" s="4" t="s">
        <v>9</v>
      </c>
      <c r="G15" s="6" t="s">
        <v>10</v>
      </c>
    </row>
    <row r="16" spans="1:7" ht="15" thickBot="1" x14ac:dyDescent="0.4">
      <c r="A16" s="3" t="s">
        <v>220</v>
      </c>
      <c r="B16" s="13">
        <v>6941764416161</v>
      </c>
      <c r="C16" s="4">
        <v>27999</v>
      </c>
      <c r="D16" s="5" t="s">
        <v>8</v>
      </c>
      <c r="E16" s="5" t="s">
        <v>8</v>
      </c>
      <c r="F16" s="4" t="s">
        <v>9</v>
      </c>
      <c r="G16" s="6" t="s">
        <v>10</v>
      </c>
    </row>
    <row r="17" spans="1:7" ht="15" thickBot="1" x14ac:dyDescent="0.4">
      <c r="A17" s="3" t="s">
        <v>221</v>
      </c>
      <c r="B17" s="13">
        <v>6941764416178</v>
      </c>
      <c r="C17" s="4">
        <v>27999</v>
      </c>
      <c r="D17" s="5" t="s">
        <v>8</v>
      </c>
      <c r="E17" s="5" t="s">
        <v>8</v>
      </c>
      <c r="F17" s="4" t="s">
        <v>9</v>
      </c>
      <c r="G17" s="6" t="s">
        <v>10</v>
      </c>
    </row>
    <row r="18" spans="1:7" ht="15" thickBot="1" x14ac:dyDescent="0.4">
      <c r="A18" s="3" t="s">
        <v>222</v>
      </c>
      <c r="B18" s="13">
        <v>6941764414983</v>
      </c>
      <c r="C18" s="4">
        <v>27999</v>
      </c>
      <c r="D18" s="5" t="s">
        <v>8</v>
      </c>
      <c r="E18" s="5" t="s">
        <v>8</v>
      </c>
      <c r="F18" s="4" t="s">
        <v>9</v>
      </c>
      <c r="G18" s="6" t="s">
        <v>10</v>
      </c>
    </row>
    <row r="19" spans="1:7" ht="15" thickBot="1" x14ac:dyDescent="0.4">
      <c r="A19" s="3" t="s">
        <v>223</v>
      </c>
      <c r="B19" s="13">
        <v>6941764415027</v>
      </c>
      <c r="C19" s="4">
        <v>27999</v>
      </c>
      <c r="D19" s="5" t="s">
        <v>8</v>
      </c>
      <c r="E19" s="5" t="s">
        <v>8</v>
      </c>
      <c r="F19" s="4" t="s">
        <v>9</v>
      </c>
      <c r="G19" s="6" t="s">
        <v>10</v>
      </c>
    </row>
    <row r="20" spans="1:7" ht="15" thickBot="1" x14ac:dyDescent="0.4">
      <c r="A20" s="3" t="s">
        <v>224</v>
      </c>
      <c r="B20" s="13">
        <v>6941764414945</v>
      </c>
      <c r="C20" s="4">
        <v>27999</v>
      </c>
      <c r="D20" s="5" t="s">
        <v>8</v>
      </c>
      <c r="E20" s="5" t="s">
        <v>8</v>
      </c>
      <c r="F20" s="4" t="s">
        <v>9</v>
      </c>
      <c r="G20" s="6" t="s">
        <v>10</v>
      </c>
    </row>
    <row r="21" spans="1:7" ht="15" thickBot="1" x14ac:dyDescent="0.4">
      <c r="A21" s="3" t="s">
        <v>225</v>
      </c>
      <c r="B21" s="13">
        <v>6941764414990</v>
      </c>
      <c r="C21" s="4">
        <v>29999</v>
      </c>
      <c r="D21" s="5" t="s">
        <v>8</v>
      </c>
      <c r="E21" s="5" t="s">
        <v>8</v>
      </c>
      <c r="F21" s="4" t="s">
        <v>9</v>
      </c>
      <c r="G21" s="6" t="s">
        <v>10</v>
      </c>
    </row>
    <row r="22" spans="1:7" ht="15" thickBot="1" x14ac:dyDescent="0.4">
      <c r="A22" s="3" t="s">
        <v>226</v>
      </c>
      <c r="B22" s="13">
        <v>6941764415034</v>
      </c>
      <c r="C22" s="4">
        <v>29999</v>
      </c>
      <c r="D22" s="5" t="s">
        <v>8</v>
      </c>
      <c r="E22" s="5" t="s">
        <v>8</v>
      </c>
      <c r="F22" s="4" t="s">
        <v>9</v>
      </c>
      <c r="G22" s="6" t="s">
        <v>10</v>
      </c>
    </row>
    <row r="23" spans="1:7" ht="15" thickBot="1" x14ac:dyDescent="0.4">
      <c r="A23" s="3" t="s">
        <v>227</v>
      </c>
      <c r="B23" s="13">
        <v>6941764414952</v>
      </c>
      <c r="C23" s="4">
        <v>29999</v>
      </c>
      <c r="D23" s="5" t="s">
        <v>8</v>
      </c>
      <c r="E23" s="5" t="s">
        <v>8</v>
      </c>
      <c r="F23" s="4" t="s">
        <v>9</v>
      </c>
      <c r="G23" s="6" t="s">
        <v>10</v>
      </c>
    </row>
    <row r="24" spans="1:7" ht="15" thickBot="1" x14ac:dyDescent="0.4">
      <c r="A24" s="3" t="s">
        <v>228</v>
      </c>
      <c r="B24" s="13">
        <v>6941764404359</v>
      </c>
      <c r="C24" s="4">
        <v>13999</v>
      </c>
      <c r="D24" s="7" t="s">
        <v>8</v>
      </c>
      <c r="E24" s="5" t="s">
        <v>8</v>
      </c>
      <c r="F24" s="4" t="s">
        <v>9</v>
      </c>
      <c r="G24" s="6" t="s">
        <v>10</v>
      </c>
    </row>
    <row r="25" spans="1:7" ht="15" thickBot="1" x14ac:dyDescent="0.4">
      <c r="A25" s="3" t="s">
        <v>229</v>
      </c>
      <c r="B25" s="13">
        <v>6941764404342</v>
      </c>
      <c r="C25" s="4">
        <v>13999</v>
      </c>
      <c r="D25" s="7" t="s">
        <v>8</v>
      </c>
      <c r="E25" s="5" t="s">
        <v>8</v>
      </c>
      <c r="F25" s="4" t="s">
        <v>9</v>
      </c>
      <c r="G25" s="6" t="s">
        <v>10</v>
      </c>
    </row>
    <row r="26" spans="1:7" ht="15" thickBot="1" x14ac:dyDescent="0.4">
      <c r="A26" s="3" t="s">
        <v>230</v>
      </c>
      <c r="B26" s="13">
        <v>6941399085794</v>
      </c>
      <c r="C26" s="4">
        <v>29999</v>
      </c>
      <c r="D26" s="5" t="s">
        <v>8</v>
      </c>
      <c r="E26" s="5" t="s">
        <v>8</v>
      </c>
      <c r="F26" s="4" t="s">
        <v>9</v>
      </c>
      <c r="G26" s="6" t="s">
        <v>10</v>
      </c>
    </row>
    <row r="27" spans="1:7" ht="15" thickBot="1" x14ac:dyDescent="0.4">
      <c r="A27" s="3" t="s">
        <v>231</v>
      </c>
      <c r="B27" s="13">
        <v>6941399084483</v>
      </c>
      <c r="C27" s="4">
        <v>27999</v>
      </c>
      <c r="D27" s="5" t="s">
        <v>8</v>
      </c>
      <c r="E27" s="5" t="s">
        <v>8</v>
      </c>
      <c r="F27" s="4" t="s">
        <v>9</v>
      </c>
      <c r="G27" s="6" t="s">
        <v>10</v>
      </c>
    </row>
    <row r="28" spans="1:7" ht="15" thickBot="1" x14ac:dyDescent="0.4">
      <c r="A28" s="3" t="s">
        <v>232</v>
      </c>
      <c r="B28" s="13">
        <v>6941399084452</v>
      </c>
      <c r="C28" s="4">
        <v>27999</v>
      </c>
      <c r="D28" s="5" t="s">
        <v>8</v>
      </c>
      <c r="E28" s="5" t="s">
        <v>8</v>
      </c>
      <c r="F28" s="4" t="s">
        <v>9</v>
      </c>
      <c r="G28" s="6" t="s">
        <v>10</v>
      </c>
    </row>
    <row r="29" spans="1:7" ht="15" thickBot="1" x14ac:dyDescent="0.4">
      <c r="A29" s="3" t="s">
        <v>233</v>
      </c>
      <c r="B29" s="13">
        <v>6941399084421</v>
      </c>
      <c r="C29" s="4">
        <v>27999</v>
      </c>
      <c r="D29" s="5" t="s">
        <v>8</v>
      </c>
      <c r="E29" s="5" t="s">
        <v>8</v>
      </c>
      <c r="F29" s="4" t="s">
        <v>9</v>
      </c>
      <c r="G29" s="6" t="s">
        <v>10</v>
      </c>
    </row>
    <row r="30" spans="1:7" ht="15" thickBot="1" x14ac:dyDescent="0.4">
      <c r="A30" s="3" t="s">
        <v>234</v>
      </c>
      <c r="B30" s="13">
        <v>6941399084476</v>
      </c>
      <c r="C30" s="4">
        <v>26999</v>
      </c>
      <c r="D30" s="5" t="s">
        <v>8</v>
      </c>
      <c r="E30" s="5" t="s">
        <v>8</v>
      </c>
      <c r="F30" s="4" t="s">
        <v>9</v>
      </c>
      <c r="G30" s="6" t="s">
        <v>10</v>
      </c>
    </row>
    <row r="31" spans="1:7" ht="15" thickBot="1" x14ac:dyDescent="0.4">
      <c r="A31" s="3" t="s">
        <v>235</v>
      </c>
      <c r="B31" s="13">
        <v>6941399084445</v>
      </c>
      <c r="C31" s="4">
        <v>26999</v>
      </c>
      <c r="D31" s="5" t="s">
        <v>8</v>
      </c>
      <c r="E31" s="5" t="s">
        <v>8</v>
      </c>
      <c r="F31" s="4" t="s">
        <v>9</v>
      </c>
      <c r="G31" s="6" t="s">
        <v>10</v>
      </c>
    </row>
    <row r="32" spans="1:7" ht="15" thickBot="1" x14ac:dyDescent="0.4">
      <c r="A32" s="3" t="s">
        <v>236</v>
      </c>
      <c r="B32" s="13">
        <v>6941399084414</v>
      </c>
      <c r="C32" s="4">
        <v>26999</v>
      </c>
      <c r="D32" s="5" t="s">
        <v>8</v>
      </c>
      <c r="E32" s="5" t="s">
        <v>8</v>
      </c>
      <c r="F32" s="4" t="s">
        <v>9</v>
      </c>
      <c r="G32" s="6" t="s">
        <v>10</v>
      </c>
    </row>
    <row r="33" spans="1:7" ht="15" thickBot="1" x14ac:dyDescent="0.4">
      <c r="A33" s="3" t="s">
        <v>237</v>
      </c>
      <c r="B33" s="13">
        <v>6941399085763</v>
      </c>
      <c r="C33" s="4">
        <v>29999</v>
      </c>
      <c r="D33" s="5" t="s">
        <v>8</v>
      </c>
      <c r="E33" s="5" t="s">
        <v>8</v>
      </c>
      <c r="F33" s="4" t="s">
        <v>9</v>
      </c>
      <c r="G33" s="6" t="s">
        <v>10</v>
      </c>
    </row>
    <row r="34" spans="1:7" ht="15" thickBot="1" x14ac:dyDescent="0.4">
      <c r="A34" s="3" t="s">
        <v>238</v>
      </c>
      <c r="B34" s="13">
        <v>6941399085732</v>
      </c>
      <c r="C34" s="4">
        <v>29999</v>
      </c>
      <c r="D34" s="5" t="s">
        <v>8</v>
      </c>
      <c r="E34" s="5" t="s">
        <v>8</v>
      </c>
      <c r="F34" s="4" t="s">
        <v>9</v>
      </c>
      <c r="G34" s="6" t="s">
        <v>10</v>
      </c>
    </row>
    <row r="35" spans="1:7" ht="15" thickBot="1" x14ac:dyDescent="0.4">
      <c r="A35" s="3" t="s">
        <v>239</v>
      </c>
      <c r="B35" s="13">
        <v>6941399096707</v>
      </c>
      <c r="C35" s="4">
        <v>29999</v>
      </c>
      <c r="D35" s="5" t="s">
        <v>8</v>
      </c>
      <c r="E35" s="5" t="s">
        <v>8</v>
      </c>
      <c r="F35" s="4" t="s">
        <v>9</v>
      </c>
      <c r="G35" s="6" t="s">
        <v>10</v>
      </c>
    </row>
    <row r="36" spans="1:7" ht="15" thickBot="1" x14ac:dyDescent="0.4">
      <c r="A36" s="3" t="s">
        <v>240</v>
      </c>
      <c r="B36" s="13">
        <v>6941399072695</v>
      </c>
      <c r="C36" s="4">
        <v>41999</v>
      </c>
      <c r="D36" s="5" t="s">
        <v>8</v>
      </c>
      <c r="E36" s="5" t="s">
        <v>8</v>
      </c>
      <c r="F36" s="4" t="s">
        <v>9</v>
      </c>
      <c r="G36" s="6" t="s">
        <v>10</v>
      </c>
    </row>
    <row r="37" spans="1:7" ht="15" thickBot="1" x14ac:dyDescent="0.4">
      <c r="A37" s="3" t="s">
        <v>241</v>
      </c>
      <c r="B37" s="13">
        <v>6941399072756</v>
      </c>
      <c r="C37" s="4">
        <v>41999</v>
      </c>
      <c r="D37" s="5" t="s">
        <v>8</v>
      </c>
      <c r="E37" s="5" t="s">
        <v>8</v>
      </c>
      <c r="F37" s="4" t="s">
        <v>9</v>
      </c>
      <c r="G37" s="6" t="s">
        <v>10</v>
      </c>
    </row>
    <row r="38" spans="1:7" ht="15" thickBot="1" x14ac:dyDescent="0.4">
      <c r="A38" s="3" t="s">
        <v>242</v>
      </c>
      <c r="B38" s="13">
        <v>6941399072787</v>
      </c>
      <c r="C38" s="4">
        <v>41999</v>
      </c>
      <c r="D38" s="5" t="s">
        <v>8</v>
      </c>
      <c r="E38" s="5" t="s">
        <v>8</v>
      </c>
      <c r="F38" s="4" t="s">
        <v>9</v>
      </c>
      <c r="G38" s="6" t="s">
        <v>10</v>
      </c>
    </row>
    <row r="39" spans="1:7" ht="15" thickBot="1" x14ac:dyDescent="0.4">
      <c r="A39" s="3" t="s">
        <v>243</v>
      </c>
      <c r="B39" s="13">
        <v>6941399072718</v>
      </c>
      <c r="C39" s="4">
        <v>49999</v>
      </c>
      <c r="D39" s="5" t="s">
        <v>8</v>
      </c>
      <c r="E39" s="5" t="s">
        <v>8</v>
      </c>
      <c r="F39" s="4" t="s">
        <v>9</v>
      </c>
      <c r="G39" s="6" t="s">
        <v>10</v>
      </c>
    </row>
    <row r="40" spans="1:7" ht="15" thickBot="1" x14ac:dyDescent="0.4">
      <c r="A40" s="3" t="s">
        <v>244</v>
      </c>
      <c r="B40" s="13">
        <v>6941399072770</v>
      </c>
      <c r="C40" s="4">
        <v>49999</v>
      </c>
      <c r="D40" s="5" t="s">
        <v>8</v>
      </c>
      <c r="E40" s="5" t="s">
        <v>8</v>
      </c>
      <c r="F40" s="4" t="s">
        <v>9</v>
      </c>
      <c r="G40" s="6" t="s">
        <v>10</v>
      </c>
    </row>
    <row r="41" spans="1:7" ht="15" thickBot="1" x14ac:dyDescent="0.4">
      <c r="A41" s="3" t="s">
        <v>245</v>
      </c>
      <c r="B41" s="13">
        <v>6941399072800</v>
      </c>
      <c r="C41" s="4">
        <v>49999</v>
      </c>
      <c r="D41" s="5" t="s">
        <v>8</v>
      </c>
      <c r="E41" s="5" t="s">
        <v>8</v>
      </c>
      <c r="F41" s="4" t="s">
        <v>9</v>
      </c>
      <c r="G41" s="6" t="s">
        <v>10</v>
      </c>
    </row>
    <row r="42" spans="1:7" ht="15" thickBot="1" x14ac:dyDescent="0.4">
      <c r="A42" s="3" t="s">
        <v>246</v>
      </c>
      <c r="B42" s="13">
        <v>6941764422049</v>
      </c>
      <c r="C42" s="4">
        <v>14499</v>
      </c>
      <c r="D42" s="5" t="s">
        <v>8</v>
      </c>
      <c r="E42" s="5" t="s">
        <v>8</v>
      </c>
      <c r="F42" s="4" t="s">
        <v>9</v>
      </c>
      <c r="G42" s="6" t="s">
        <v>10</v>
      </c>
    </row>
    <row r="43" spans="1:7" ht="15" thickBot="1" x14ac:dyDescent="0.4">
      <c r="A43" s="3" t="s">
        <v>247</v>
      </c>
      <c r="B43" s="13">
        <v>6941764422070</v>
      </c>
      <c r="C43" s="4">
        <v>14499</v>
      </c>
      <c r="D43" s="5" t="s">
        <v>8</v>
      </c>
      <c r="E43" s="5" t="s">
        <v>8</v>
      </c>
      <c r="F43" s="4" t="s">
        <v>9</v>
      </c>
      <c r="G43" s="6" t="s">
        <v>10</v>
      </c>
    </row>
    <row r="44" spans="1:7" ht="15" thickBot="1" x14ac:dyDescent="0.4">
      <c r="A44" s="3" t="s">
        <v>248</v>
      </c>
      <c r="B44" s="13">
        <v>6941764410879</v>
      </c>
      <c r="C44" s="4">
        <v>13999</v>
      </c>
      <c r="D44" s="7" t="s">
        <v>8</v>
      </c>
      <c r="E44" s="5" t="s">
        <v>8</v>
      </c>
      <c r="F44" s="4" t="s">
        <v>9</v>
      </c>
      <c r="G44" s="6" t="s">
        <v>10</v>
      </c>
    </row>
    <row r="45" spans="1:7" ht="15" thickBot="1" x14ac:dyDescent="0.4">
      <c r="A45" s="3" t="s">
        <v>249</v>
      </c>
      <c r="B45" s="13">
        <v>6941764410855</v>
      </c>
      <c r="C45" s="4">
        <v>13999</v>
      </c>
      <c r="D45" s="7" t="s">
        <v>8</v>
      </c>
      <c r="E45" s="5" t="s">
        <v>8</v>
      </c>
      <c r="F45" s="4" t="s">
        <v>9</v>
      </c>
      <c r="G45" s="6" t="s">
        <v>10</v>
      </c>
    </row>
    <row r="46" spans="1:7" ht="15" thickBot="1" x14ac:dyDescent="0.4">
      <c r="A46" s="3" t="s">
        <v>250</v>
      </c>
      <c r="B46" s="13">
        <v>6941764410824</v>
      </c>
      <c r="C46" s="4">
        <v>13999</v>
      </c>
      <c r="D46" s="7" t="s">
        <v>8</v>
      </c>
      <c r="E46" s="5" t="s">
        <v>8</v>
      </c>
      <c r="F46" s="4" t="s">
        <v>9</v>
      </c>
      <c r="G46" s="6" t="s">
        <v>10</v>
      </c>
    </row>
    <row r="47" spans="1:7" ht="15" thickBot="1" x14ac:dyDescent="0.4">
      <c r="A47" s="3" t="s">
        <v>251</v>
      </c>
      <c r="B47" s="13">
        <v>6941764404274</v>
      </c>
      <c r="C47" s="4">
        <v>11999</v>
      </c>
      <c r="D47" s="7" t="s">
        <v>8</v>
      </c>
      <c r="E47" s="5" t="s">
        <v>8</v>
      </c>
      <c r="F47" s="4" t="s">
        <v>9</v>
      </c>
      <c r="G47" s="6" t="s">
        <v>10</v>
      </c>
    </row>
    <row r="48" spans="1:7" ht="15" thickBot="1" x14ac:dyDescent="0.4">
      <c r="A48" s="3" t="s">
        <v>252</v>
      </c>
      <c r="B48" s="13">
        <v>6941764404267</v>
      </c>
      <c r="C48" s="4">
        <v>11999</v>
      </c>
      <c r="D48" s="7" t="s">
        <v>8</v>
      </c>
      <c r="E48" s="5" t="s">
        <v>8</v>
      </c>
      <c r="F48" s="4" t="s">
        <v>9</v>
      </c>
      <c r="G48" s="6" t="s">
        <v>10</v>
      </c>
    </row>
    <row r="49" spans="1:7" ht="15" thickBot="1" x14ac:dyDescent="0.4">
      <c r="A49" s="3" t="s">
        <v>253</v>
      </c>
      <c r="B49" s="13">
        <v>6941764424227</v>
      </c>
      <c r="C49" s="4">
        <v>24999</v>
      </c>
      <c r="D49" s="5" t="s">
        <v>8</v>
      </c>
      <c r="E49" s="5" t="s">
        <v>8</v>
      </c>
      <c r="F49" s="4" t="s">
        <v>9</v>
      </c>
      <c r="G49" s="6" t="s">
        <v>10</v>
      </c>
    </row>
    <row r="50" spans="1:7" ht="15" thickBot="1" x14ac:dyDescent="0.4">
      <c r="A50" s="3" t="s">
        <v>254</v>
      </c>
      <c r="B50" s="13">
        <v>6941764424258</v>
      </c>
      <c r="C50" s="4">
        <v>24999</v>
      </c>
      <c r="D50" s="5" t="s">
        <v>8</v>
      </c>
      <c r="E50" s="5" t="s">
        <v>8</v>
      </c>
      <c r="F50" s="4" t="s">
        <v>9</v>
      </c>
      <c r="G50" s="6" t="s">
        <v>10</v>
      </c>
    </row>
    <row r="51" spans="1:7" ht="15" thickBot="1" x14ac:dyDescent="0.4">
      <c r="A51" s="3" t="s">
        <v>255</v>
      </c>
      <c r="B51" s="13">
        <v>6941764424333</v>
      </c>
      <c r="C51" s="4">
        <v>27999</v>
      </c>
      <c r="D51" s="5" t="s">
        <v>8</v>
      </c>
      <c r="E51" s="5" t="s">
        <v>8</v>
      </c>
      <c r="F51" s="4" t="s">
        <v>9</v>
      </c>
      <c r="G51" s="6" t="s">
        <v>10</v>
      </c>
    </row>
    <row r="52" spans="1:7" ht="15" thickBot="1" x14ac:dyDescent="0.4">
      <c r="A52" s="3" t="s">
        <v>256</v>
      </c>
      <c r="B52" s="13">
        <v>6941764424364</v>
      </c>
      <c r="C52" s="4">
        <v>27999</v>
      </c>
      <c r="D52" s="5" t="s">
        <v>8</v>
      </c>
      <c r="E52" s="5" t="s">
        <v>8</v>
      </c>
      <c r="F52" s="4" t="s">
        <v>9</v>
      </c>
      <c r="G52" s="6" t="s">
        <v>10</v>
      </c>
    </row>
    <row r="53" spans="1:7" ht="15" thickBot="1" x14ac:dyDescent="0.4">
      <c r="A53" s="3" t="s">
        <v>257</v>
      </c>
      <c r="B53" s="13">
        <v>6941764424500</v>
      </c>
      <c r="C53" s="4">
        <v>27999</v>
      </c>
      <c r="D53" s="5" t="s">
        <v>8</v>
      </c>
      <c r="E53" s="5" t="s">
        <v>8</v>
      </c>
      <c r="F53" s="4" t="s">
        <v>9</v>
      </c>
      <c r="G53" s="6" t="s">
        <v>10</v>
      </c>
    </row>
    <row r="54" spans="1:7" ht="15" thickBot="1" x14ac:dyDescent="0.4">
      <c r="A54" s="3" t="s">
        <v>258</v>
      </c>
      <c r="B54" s="13">
        <v>6941764424357</v>
      </c>
      <c r="C54" s="4">
        <v>31999</v>
      </c>
      <c r="D54" s="5" t="s">
        <v>8</v>
      </c>
      <c r="E54" s="5" t="s">
        <v>8</v>
      </c>
      <c r="F54" s="4" t="s">
        <v>9</v>
      </c>
      <c r="G54" s="6" t="s">
        <v>10</v>
      </c>
    </row>
    <row r="55" spans="1:7" ht="15" thickBot="1" x14ac:dyDescent="0.4">
      <c r="A55" s="3" t="s">
        <v>259</v>
      </c>
      <c r="B55" s="13">
        <v>6941764424388</v>
      </c>
      <c r="C55" s="4">
        <v>31999</v>
      </c>
      <c r="D55" s="5" t="s">
        <v>8</v>
      </c>
      <c r="E55" s="5" t="s">
        <v>8</v>
      </c>
      <c r="F55" s="4" t="s">
        <v>9</v>
      </c>
      <c r="G55" s="6" t="s">
        <v>10</v>
      </c>
    </row>
    <row r="56" spans="1:7" ht="15" thickBot="1" x14ac:dyDescent="0.4">
      <c r="A56" s="3" t="s">
        <v>260</v>
      </c>
      <c r="B56" s="13">
        <v>6941764424517</v>
      </c>
      <c r="C56" s="4">
        <v>31999</v>
      </c>
      <c r="D56" s="5" t="s">
        <v>8</v>
      </c>
      <c r="E56" s="5" t="s">
        <v>8</v>
      </c>
      <c r="F56" s="4" t="s">
        <v>9</v>
      </c>
      <c r="G56" s="6" t="s">
        <v>10</v>
      </c>
    </row>
    <row r="57" spans="1:7" ht="15" thickBot="1" x14ac:dyDescent="0.4">
      <c r="A57" s="3" t="s">
        <v>261</v>
      </c>
      <c r="B57" s="13">
        <v>6941764424210</v>
      </c>
      <c r="C57" s="4">
        <v>22999</v>
      </c>
      <c r="D57" s="5" t="s">
        <v>8</v>
      </c>
      <c r="E57" s="5" t="s">
        <v>8</v>
      </c>
      <c r="F57" s="4" t="s">
        <v>9</v>
      </c>
      <c r="G57" s="6" t="s">
        <v>10</v>
      </c>
    </row>
    <row r="58" spans="1:7" ht="15" thickBot="1" x14ac:dyDescent="0.4">
      <c r="A58" s="3" t="s">
        <v>261</v>
      </c>
      <c r="B58" s="13">
        <v>6941764424241</v>
      </c>
      <c r="C58" s="4">
        <v>22999</v>
      </c>
      <c r="D58" s="5" t="s">
        <v>8</v>
      </c>
      <c r="E58" s="5" t="s">
        <v>8</v>
      </c>
      <c r="F58" s="4" t="s">
        <v>9</v>
      </c>
      <c r="G58" s="6" t="s">
        <v>10</v>
      </c>
    </row>
    <row r="59" spans="1:7" ht="15" thickBot="1" x14ac:dyDescent="0.4">
      <c r="A59" s="3" t="s">
        <v>262</v>
      </c>
      <c r="B59" s="13">
        <v>6941764424340</v>
      </c>
      <c r="C59" s="4">
        <v>29999</v>
      </c>
      <c r="D59" s="5" t="s">
        <v>8</v>
      </c>
      <c r="E59" s="5" t="s">
        <v>8</v>
      </c>
      <c r="F59" s="4" t="s">
        <v>9</v>
      </c>
      <c r="G59" s="6" t="s">
        <v>10</v>
      </c>
    </row>
    <row r="60" spans="1:7" ht="15" thickBot="1" x14ac:dyDescent="0.4">
      <c r="A60" s="3" t="s">
        <v>262</v>
      </c>
      <c r="B60" s="13">
        <v>6941764424371</v>
      </c>
      <c r="C60" s="4">
        <v>29999</v>
      </c>
      <c r="D60" s="5" t="s">
        <v>8</v>
      </c>
      <c r="E60" s="5" t="s">
        <v>8</v>
      </c>
      <c r="F60" s="4" t="s">
        <v>9</v>
      </c>
      <c r="G60" s="6" t="s">
        <v>10</v>
      </c>
    </row>
    <row r="61" spans="1:7" ht="15" thickBot="1" x14ac:dyDescent="0.4">
      <c r="A61" s="8" t="s">
        <v>262</v>
      </c>
      <c r="B61" s="13">
        <v>6941764424494</v>
      </c>
      <c r="C61" s="4">
        <v>29999</v>
      </c>
      <c r="D61" s="5" t="s">
        <v>8</v>
      </c>
      <c r="E61" s="5" t="s">
        <v>8</v>
      </c>
      <c r="F61" s="4" t="s">
        <v>9</v>
      </c>
      <c r="G61" s="6" t="s">
        <v>10</v>
      </c>
    </row>
    <row r="62" spans="1:7" ht="15" thickBot="1" x14ac:dyDescent="0.4">
      <c r="A62" s="8" t="s">
        <v>263</v>
      </c>
      <c r="B62" s="13">
        <v>6941764428201</v>
      </c>
      <c r="C62" s="4">
        <v>16999</v>
      </c>
      <c r="D62" s="7" t="s">
        <v>8</v>
      </c>
      <c r="E62" s="5" t="s">
        <v>8</v>
      </c>
      <c r="F62" s="4" t="s">
        <v>9</v>
      </c>
      <c r="G62" s="6" t="s">
        <v>10</v>
      </c>
    </row>
    <row r="63" spans="1:7" ht="15" thickBot="1" x14ac:dyDescent="0.4">
      <c r="A63" s="8" t="s">
        <v>264</v>
      </c>
      <c r="B63" s="13">
        <v>6941764428232</v>
      </c>
      <c r="C63" s="4">
        <v>16999</v>
      </c>
      <c r="D63" s="7" t="s">
        <v>8</v>
      </c>
      <c r="E63" s="5" t="s">
        <v>8</v>
      </c>
      <c r="F63" s="4" t="s">
        <v>9</v>
      </c>
      <c r="G63" s="6" t="s">
        <v>10</v>
      </c>
    </row>
    <row r="64" spans="1:7" ht="15" thickBot="1" x14ac:dyDescent="0.4">
      <c r="A64" s="8" t="s">
        <v>265</v>
      </c>
      <c r="B64" s="13">
        <v>6941764428218</v>
      </c>
      <c r="C64" s="4">
        <v>17999</v>
      </c>
      <c r="D64" s="5" t="s">
        <v>8</v>
      </c>
      <c r="E64" s="5" t="s">
        <v>8</v>
      </c>
      <c r="F64" s="4" t="s">
        <v>9</v>
      </c>
      <c r="G64" s="6" t="s">
        <v>10</v>
      </c>
    </row>
    <row r="65" spans="1:7" ht="15" thickBot="1" x14ac:dyDescent="0.4">
      <c r="A65" s="8" t="s">
        <v>266</v>
      </c>
      <c r="B65" s="13">
        <v>6941764428225</v>
      </c>
      <c r="C65" s="4">
        <v>17999</v>
      </c>
      <c r="D65" s="5" t="s">
        <v>8</v>
      </c>
      <c r="E65" s="5" t="s">
        <v>8</v>
      </c>
      <c r="F65" s="4" t="s">
        <v>9</v>
      </c>
      <c r="G65" s="6" t="s">
        <v>10</v>
      </c>
    </row>
    <row r="66" spans="1:7" ht="15" thickBot="1" x14ac:dyDescent="0.4">
      <c r="A66" s="8" t="s">
        <v>267</v>
      </c>
      <c r="B66" s="13">
        <v>6941764427075</v>
      </c>
      <c r="C66" s="4">
        <v>20999</v>
      </c>
      <c r="D66" s="5" t="s">
        <v>8</v>
      </c>
      <c r="E66" s="5" t="s">
        <v>8</v>
      </c>
      <c r="F66" s="4" t="s">
        <v>9</v>
      </c>
      <c r="G66" s="6" t="s">
        <v>10</v>
      </c>
    </row>
    <row r="67" spans="1:7" ht="15" thickBot="1" x14ac:dyDescent="0.4">
      <c r="A67" s="8" t="s">
        <v>268</v>
      </c>
      <c r="B67" s="13">
        <v>6941764427082</v>
      </c>
      <c r="C67" s="4">
        <v>20999</v>
      </c>
      <c r="D67" s="5" t="s">
        <v>8</v>
      </c>
      <c r="E67" s="5" t="s">
        <v>8</v>
      </c>
      <c r="F67" s="4" t="s">
        <v>9</v>
      </c>
      <c r="G67" s="6" t="s">
        <v>10</v>
      </c>
    </row>
    <row r="68" spans="1:7" ht="15" thickBot="1" x14ac:dyDescent="0.4">
      <c r="A68" s="8" t="s">
        <v>269</v>
      </c>
      <c r="B68" s="13">
        <v>6941764427112</v>
      </c>
      <c r="C68" s="4">
        <v>21999</v>
      </c>
      <c r="D68" s="5" t="s">
        <v>8</v>
      </c>
      <c r="E68" s="5" t="s">
        <v>8</v>
      </c>
      <c r="F68" s="4" t="s">
        <v>9</v>
      </c>
      <c r="G68" s="6" t="s">
        <v>10</v>
      </c>
    </row>
    <row r="69" spans="1:7" ht="15" thickBot="1" x14ac:dyDescent="0.4">
      <c r="A69" s="8" t="s">
        <v>270</v>
      </c>
      <c r="B69" s="13">
        <v>6941764427129</v>
      </c>
      <c r="C69" s="4">
        <v>21999</v>
      </c>
      <c r="D69" s="5" t="s">
        <v>8</v>
      </c>
      <c r="E69" s="5" t="s">
        <v>8</v>
      </c>
      <c r="F69" s="4" t="s">
        <v>9</v>
      </c>
      <c r="G69" s="6" t="s">
        <v>10</v>
      </c>
    </row>
    <row r="70" spans="1:7" ht="15" thickBot="1" x14ac:dyDescent="0.4">
      <c r="A70" s="8" t="s">
        <v>271</v>
      </c>
      <c r="B70" s="14">
        <v>6941764429413</v>
      </c>
      <c r="C70" s="4">
        <v>14999</v>
      </c>
      <c r="D70" s="5" t="s">
        <v>8</v>
      </c>
      <c r="E70" s="5" t="s">
        <v>8</v>
      </c>
      <c r="F70" s="4" t="s">
        <v>9</v>
      </c>
      <c r="G70" s="6" t="s">
        <v>10</v>
      </c>
    </row>
    <row r="71" spans="1:7" ht="15" thickBot="1" x14ac:dyDescent="0.4">
      <c r="A71" s="8" t="s">
        <v>272</v>
      </c>
      <c r="B71" s="14">
        <v>6941764429444</v>
      </c>
      <c r="C71" s="4">
        <v>14999</v>
      </c>
      <c r="D71" s="5" t="s">
        <v>8</v>
      </c>
      <c r="E71" s="5" t="s">
        <v>8</v>
      </c>
      <c r="F71" s="4" t="s">
        <v>9</v>
      </c>
      <c r="G71" s="6" t="s">
        <v>10</v>
      </c>
    </row>
    <row r="72" spans="1:7" ht="15" thickBot="1" x14ac:dyDescent="0.4">
      <c r="A72" s="8" t="s">
        <v>273</v>
      </c>
      <c r="B72" s="14">
        <v>6941764432413</v>
      </c>
      <c r="C72" s="4">
        <v>10499</v>
      </c>
      <c r="D72" s="7" t="s">
        <v>8</v>
      </c>
      <c r="E72" s="5" t="s">
        <v>8</v>
      </c>
      <c r="F72" s="4" t="s">
        <v>9</v>
      </c>
      <c r="G72" s="6" t="s">
        <v>10</v>
      </c>
    </row>
    <row r="73" spans="1:7" ht="15" thickBot="1" x14ac:dyDescent="0.4">
      <c r="A73" s="8" t="s">
        <v>274</v>
      </c>
      <c r="B73" s="14">
        <v>6941764432420</v>
      </c>
      <c r="C73" s="4">
        <v>10499</v>
      </c>
      <c r="D73" s="7" t="s">
        <v>8</v>
      </c>
      <c r="E73" s="5" t="s">
        <v>8</v>
      </c>
      <c r="F73" s="4" t="s">
        <v>9</v>
      </c>
      <c r="G73" s="6" t="s">
        <v>10</v>
      </c>
    </row>
    <row r="74" spans="1:7" ht="15" thickBot="1" x14ac:dyDescent="0.4">
      <c r="A74" s="8" t="s">
        <v>275</v>
      </c>
      <c r="B74" s="14">
        <v>6941764432352</v>
      </c>
      <c r="C74" s="4">
        <v>11499</v>
      </c>
      <c r="D74" s="7" t="s">
        <v>8</v>
      </c>
      <c r="E74" s="5" t="s">
        <v>8</v>
      </c>
      <c r="F74" s="4" t="s">
        <v>9</v>
      </c>
      <c r="G74" s="6" t="s">
        <v>10</v>
      </c>
    </row>
    <row r="75" spans="1:7" ht="15" thickBot="1" x14ac:dyDescent="0.4">
      <c r="A75" s="8" t="s">
        <v>276</v>
      </c>
      <c r="B75" s="14">
        <v>6941764432383</v>
      </c>
      <c r="C75" s="4">
        <v>11499</v>
      </c>
      <c r="D75" s="7" t="s">
        <v>8</v>
      </c>
      <c r="E75" s="5" t="s">
        <v>8</v>
      </c>
      <c r="F75" s="4" t="s">
        <v>9</v>
      </c>
      <c r="G75" s="6" t="s">
        <v>10</v>
      </c>
    </row>
    <row r="76" spans="1:7" ht="15" thickBot="1" x14ac:dyDescent="0.4">
      <c r="A76" s="8" t="s">
        <v>277</v>
      </c>
      <c r="B76" s="14">
        <v>6941764432390</v>
      </c>
      <c r="C76" s="4">
        <v>12499</v>
      </c>
      <c r="D76" s="7" t="s">
        <v>8</v>
      </c>
      <c r="E76" s="5" t="s">
        <v>8</v>
      </c>
      <c r="F76" s="4" t="s">
        <v>9</v>
      </c>
      <c r="G76" s="6" t="s">
        <v>10</v>
      </c>
    </row>
    <row r="77" spans="1:7" ht="15" thickBot="1" x14ac:dyDescent="0.4">
      <c r="A77" s="8" t="s">
        <v>278</v>
      </c>
      <c r="B77" s="14">
        <v>6941764432369</v>
      </c>
      <c r="C77" s="4">
        <v>12499</v>
      </c>
      <c r="D77" s="7" t="s">
        <v>8</v>
      </c>
      <c r="E77" s="5" t="s">
        <v>8</v>
      </c>
      <c r="F77" s="4" t="s">
        <v>9</v>
      </c>
      <c r="G77" s="6" t="s">
        <v>10</v>
      </c>
    </row>
    <row r="78" spans="1:7" ht="15" thickBot="1" x14ac:dyDescent="0.4">
      <c r="A78" s="8" t="s">
        <v>279</v>
      </c>
      <c r="B78" s="14">
        <v>6941764434646</v>
      </c>
      <c r="C78" s="4">
        <v>30999</v>
      </c>
      <c r="D78" s="7" t="s">
        <v>11</v>
      </c>
      <c r="E78" s="7" t="s">
        <v>12</v>
      </c>
      <c r="F78" s="4" t="s">
        <v>9</v>
      </c>
      <c r="G78" s="6" t="s">
        <v>10</v>
      </c>
    </row>
    <row r="79" spans="1:7" ht="15" thickBot="1" x14ac:dyDescent="0.4">
      <c r="A79" s="8" t="s">
        <v>280</v>
      </c>
      <c r="B79" s="14">
        <v>6941764434653</v>
      </c>
      <c r="C79" s="4">
        <v>30999</v>
      </c>
      <c r="D79" s="7" t="s">
        <v>11</v>
      </c>
      <c r="E79" s="7" t="s">
        <v>12</v>
      </c>
      <c r="F79" s="4" t="s">
        <v>9</v>
      </c>
      <c r="G79" s="6" t="s">
        <v>10</v>
      </c>
    </row>
    <row r="80" spans="1:7" ht="15" thickBot="1" x14ac:dyDescent="0.4">
      <c r="A80" s="8" t="s">
        <v>281</v>
      </c>
      <c r="B80" s="14">
        <v>6941764434660</v>
      </c>
      <c r="C80" s="4">
        <v>32999</v>
      </c>
      <c r="D80" s="7" t="s">
        <v>11</v>
      </c>
      <c r="E80" s="7" t="s">
        <v>12</v>
      </c>
      <c r="F80" s="4" t="s">
        <v>9</v>
      </c>
      <c r="G80" s="6" t="s">
        <v>10</v>
      </c>
    </row>
    <row r="81" spans="1:7" ht="15" thickBot="1" x14ac:dyDescent="0.4">
      <c r="A81" s="8" t="s">
        <v>282</v>
      </c>
      <c r="B81" s="14">
        <v>6941764434677</v>
      </c>
      <c r="C81" s="4">
        <v>32999</v>
      </c>
      <c r="D81" s="7" t="s">
        <v>11</v>
      </c>
      <c r="E81" s="7" t="s">
        <v>12</v>
      </c>
      <c r="F81" s="4" t="s">
        <v>9</v>
      </c>
      <c r="G81" s="6" t="s">
        <v>10</v>
      </c>
    </row>
    <row r="82" spans="1:7" ht="15" thickBot="1" x14ac:dyDescent="0.4">
      <c r="A82" s="8" t="s">
        <v>283</v>
      </c>
      <c r="B82" s="14">
        <v>6941764434684</v>
      </c>
      <c r="C82" s="4">
        <v>35999</v>
      </c>
      <c r="D82" s="7" t="s">
        <v>11</v>
      </c>
      <c r="E82" s="7" t="s">
        <v>12</v>
      </c>
      <c r="F82" s="4" t="s">
        <v>9</v>
      </c>
      <c r="G82" s="6" t="s">
        <v>10</v>
      </c>
    </row>
    <row r="83" spans="1:7" ht="15" thickBot="1" x14ac:dyDescent="0.4">
      <c r="A83" s="8" t="s">
        <v>284</v>
      </c>
      <c r="B83" s="14">
        <v>6941764434691</v>
      </c>
      <c r="C83" s="4">
        <v>35999</v>
      </c>
      <c r="D83" s="7" t="s">
        <v>11</v>
      </c>
      <c r="E83" s="7" t="s">
        <v>12</v>
      </c>
      <c r="F83" s="4" t="s">
        <v>9</v>
      </c>
      <c r="G83" s="6" t="s">
        <v>10</v>
      </c>
    </row>
    <row r="84" spans="1:7" ht="15" thickBot="1" x14ac:dyDescent="0.4">
      <c r="A84" s="8" t="s">
        <v>285</v>
      </c>
      <c r="B84" s="14">
        <v>6941764434707</v>
      </c>
      <c r="C84" s="4">
        <v>39999</v>
      </c>
      <c r="D84" s="7" t="s">
        <v>11</v>
      </c>
      <c r="E84" s="7" t="s">
        <v>12</v>
      </c>
      <c r="F84" s="4" t="s">
        <v>9</v>
      </c>
      <c r="G84" s="6" t="s">
        <v>10</v>
      </c>
    </row>
    <row r="85" spans="1:7" ht="15" thickBot="1" x14ac:dyDescent="0.4">
      <c r="A85" s="8" t="s">
        <v>286</v>
      </c>
      <c r="B85" s="14">
        <v>6941764434714</v>
      </c>
      <c r="C85" s="4">
        <v>39999</v>
      </c>
      <c r="D85" s="7" t="s">
        <v>11</v>
      </c>
      <c r="E85" s="7" t="s">
        <v>12</v>
      </c>
      <c r="F85" s="4" t="s">
        <v>9</v>
      </c>
      <c r="G85" s="6" t="s">
        <v>10</v>
      </c>
    </row>
    <row r="86" spans="1:7" ht="15" thickBot="1" x14ac:dyDescent="0.4">
      <c r="A86" s="8" t="s">
        <v>287</v>
      </c>
      <c r="B86" s="14">
        <v>6941764433496</v>
      </c>
      <c r="C86" s="4">
        <v>35999</v>
      </c>
      <c r="D86" s="7" t="s">
        <v>11</v>
      </c>
      <c r="E86" s="7" t="s">
        <v>12</v>
      </c>
      <c r="F86" s="4" t="s">
        <v>9</v>
      </c>
      <c r="G86" s="6" t="s">
        <v>10</v>
      </c>
    </row>
    <row r="87" spans="1:7" ht="15" thickBot="1" x14ac:dyDescent="0.4">
      <c r="A87" s="8" t="s">
        <v>288</v>
      </c>
      <c r="B87" s="14">
        <v>6941764438699</v>
      </c>
      <c r="C87" s="4">
        <v>35999</v>
      </c>
      <c r="D87" s="7" t="s">
        <v>11</v>
      </c>
      <c r="E87" s="7" t="s">
        <v>12</v>
      </c>
      <c r="F87" s="4" t="s">
        <v>9</v>
      </c>
      <c r="G87" s="6" t="s">
        <v>10</v>
      </c>
    </row>
    <row r="88" spans="1:7" ht="15" thickBot="1" x14ac:dyDescent="0.4">
      <c r="A88" s="8" t="s">
        <v>289</v>
      </c>
      <c r="B88" s="14">
        <v>6941764435735</v>
      </c>
      <c r="C88" s="4">
        <v>37999</v>
      </c>
      <c r="D88" s="7" t="s">
        <v>11</v>
      </c>
      <c r="E88" s="7" t="s">
        <v>12</v>
      </c>
      <c r="F88" s="4" t="s">
        <v>9</v>
      </c>
      <c r="G88" s="6" t="s">
        <v>10</v>
      </c>
    </row>
    <row r="89" spans="1:7" ht="15" thickBot="1" x14ac:dyDescent="0.4">
      <c r="A89" s="8" t="s">
        <v>290</v>
      </c>
      <c r="B89" s="14">
        <v>6941764435704</v>
      </c>
      <c r="C89" s="4">
        <v>37999</v>
      </c>
      <c r="D89" s="7" t="s">
        <v>11</v>
      </c>
      <c r="E89" s="7" t="s">
        <v>12</v>
      </c>
      <c r="F89" s="4" t="s">
        <v>9</v>
      </c>
      <c r="G89" s="6" t="s">
        <v>10</v>
      </c>
    </row>
    <row r="90" spans="1:7" ht="15" thickBot="1" x14ac:dyDescent="0.4">
      <c r="A90" s="8" t="s">
        <v>291</v>
      </c>
      <c r="B90" s="14">
        <v>6941764435742</v>
      </c>
      <c r="C90" s="4">
        <v>39999</v>
      </c>
      <c r="D90" s="7" t="s">
        <v>11</v>
      </c>
      <c r="E90" s="7" t="s">
        <v>12</v>
      </c>
      <c r="F90" s="4" t="s">
        <v>9</v>
      </c>
      <c r="G90" s="6" t="s">
        <v>10</v>
      </c>
    </row>
    <row r="91" spans="1:7" ht="15" thickBot="1" x14ac:dyDescent="0.4">
      <c r="A91" s="8" t="s">
        <v>292</v>
      </c>
      <c r="B91" s="14">
        <v>6941764435711</v>
      </c>
      <c r="C91" s="4">
        <v>39999</v>
      </c>
      <c r="D91" s="7" t="s">
        <v>11</v>
      </c>
      <c r="E91" s="7" t="s">
        <v>12</v>
      </c>
      <c r="F91" s="4" t="s">
        <v>9</v>
      </c>
      <c r="G91" s="6" t="s">
        <v>10</v>
      </c>
    </row>
    <row r="92" spans="1:7" ht="15" thickBot="1" x14ac:dyDescent="0.4">
      <c r="A92" s="8" t="s">
        <v>293</v>
      </c>
      <c r="B92" s="14">
        <v>6941764424265</v>
      </c>
      <c r="C92" s="4">
        <v>26999</v>
      </c>
      <c r="D92" s="5" t="s">
        <v>8</v>
      </c>
      <c r="E92" s="5" t="s">
        <v>8</v>
      </c>
      <c r="F92" s="4" t="s">
        <v>9</v>
      </c>
      <c r="G92" s="6" t="s">
        <v>10</v>
      </c>
    </row>
    <row r="93" spans="1:7" ht="15" thickBot="1" x14ac:dyDescent="0.4">
      <c r="A93" s="8" t="s">
        <v>294</v>
      </c>
      <c r="B93" s="14">
        <v>6941764424234</v>
      </c>
      <c r="C93" s="4">
        <v>26999</v>
      </c>
      <c r="D93" s="5" t="s">
        <v>8</v>
      </c>
      <c r="E93" s="5" t="s">
        <v>8</v>
      </c>
      <c r="F93" s="4" t="s">
        <v>9</v>
      </c>
      <c r="G93" s="6" t="s">
        <v>10</v>
      </c>
    </row>
    <row r="94" spans="1:7" ht="15" thickBot="1" x14ac:dyDescent="0.4">
      <c r="A94" s="8" t="s">
        <v>295</v>
      </c>
      <c r="B94" s="14">
        <v>6941764438354</v>
      </c>
      <c r="C94" s="4">
        <v>23999</v>
      </c>
      <c r="D94" s="7" t="s">
        <v>11</v>
      </c>
      <c r="E94" s="7" t="s">
        <v>12</v>
      </c>
      <c r="F94" s="4" t="s">
        <v>9</v>
      </c>
      <c r="G94" s="6" t="s">
        <v>10</v>
      </c>
    </row>
    <row r="95" spans="1:7" ht="15" thickBot="1" x14ac:dyDescent="0.4">
      <c r="A95" s="8" t="s">
        <v>296</v>
      </c>
      <c r="B95" s="14">
        <v>6941764438439</v>
      </c>
      <c r="C95" s="4">
        <v>23999</v>
      </c>
      <c r="D95" s="7" t="s">
        <v>11</v>
      </c>
      <c r="E95" s="7" t="s">
        <v>12</v>
      </c>
      <c r="F95" s="4" t="s">
        <v>9</v>
      </c>
      <c r="G95" s="6" t="s">
        <v>10</v>
      </c>
    </row>
    <row r="96" spans="1:7" ht="15" thickBot="1" x14ac:dyDescent="0.4">
      <c r="A96" s="8" t="s">
        <v>297</v>
      </c>
      <c r="B96" s="14">
        <v>6941764438392</v>
      </c>
      <c r="C96" s="4">
        <v>23999</v>
      </c>
      <c r="D96" s="7" t="s">
        <v>11</v>
      </c>
      <c r="E96" s="7" t="s">
        <v>12</v>
      </c>
      <c r="F96" s="4" t="s">
        <v>9</v>
      </c>
      <c r="G96" s="6" t="s">
        <v>10</v>
      </c>
    </row>
    <row r="97" spans="1:7" ht="15" thickBot="1" x14ac:dyDescent="0.4">
      <c r="A97" s="8" t="s">
        <v>298</v>
      </c>
      <c r="B97" s="14">
        <v>6941764438361</v>
      </c>
      <c r="C97" s="4">
        <v>25999</v>
      </c>
      <c r="D97" s="7" t="s">
        <v>11</v>
      </c>
      <c r="E97" s="7" t="s">
        <v>12</v>
      </c>
      <c r="F97" s="4" t="s">
        <v>9</v>
      </c>
      <c r="G97" s="6" t="s">
        <v>10</v>
      </c>
    </row>
    <row r="98" spans="1:7" ht="15" thickBot="1" x14ac:dyDescent="0.4">
      <c r="A98" s="8" t="s">
        <v>299</v>
      </c>
      <c r="B98" s="14">
        <v>6941764438446</v>
      </c>
      <c r="C98" s="4">
        <v>25999</v>
      </c>
      <c r="D98" s="7" t="s">
        <v>11</v>
      </c>
      <c r="E98" s="7" t="s">
        <v>12</v>
      </c>
      <c r="F98" s="4" t="s">
        <v>9</v>
      </c>
      <c r="G98" s="6" t="s">
        <v>10</v>
      </c>
    </row>
    <row r="99" spans="1:7" ht="15" thickBot="1" x14ac:dyDescent="0.4">
      <c r="A99" s="8" t="s">
        <v>300</v>
      </c>
      <c r="B99" s="14">
        <v>6941764438408</v>
      </c>
      <c r="C99" s="4">
        <v>25999</v>
      </c>
      <c r="D99" s="7" t="s">
        <v>11</v>
      </c>
      <c r="E99" s="7" t="s">
        <v>12</v>
      </c>
      <c r="F99" s="4" t="s">
        <v>9</v>
      </c>
      <c r="G99" s="6" t="s">
        <v>10</v>
      </c>
    </row>
    <row r="100" spans="1:7" ht="15" thickBot="1" x14ac:dyDescent="0.4">
      <c r="A100" s="8" t="s">
        <v>301</v>
      </c>
      <c r="B100" s="14">
        <v>6941764438385</v>
      </c>
      <c r="C100" s="4">
        <v>28999</v>
      </c>
      <c r="D100" s="7" t="s">
        <v>11</v>
      </c>
      <c r="E100" s="7" t="s">
        <v>12</v>
      </c>
      <c r="F100" s="4" t="s">
        <v>9</v>
      </c>
      <c r="G100" s="6" t="s">
        <v>10</v>
      </c>
    </row>
    <row r="101" spans="1:7" ht="15" thickBot="1" x14ac:dyDescent="0.4">
      <c r="A101" s="8" t="s">
        <v>302</v>
      </c>
      <c r="B101" s="14">
        <v>6941764438460</v>
      </c>
      <c r="C101" s="4">
        <v>28999</v>
      </c>
      <c r="D101" s="7" t="s">
        <v>11</v>
      </c>
      <c r="E101" s="7" t="s">
        <v>12</v>
      </c>
      <c r="F101" s="4" t="s">
        <v>9</v>
      </c>
      <c r="G101" s="6" t="s">
        <v>10</v>
      </c>
    </row>
    <row r="102" spans="1:7" ht="15" thickBot="1" x14ac:dyDescent="0.4">
      <c r="A102" s="8" t="s">
        <v>303</v>
      </c>
      <c r="B102" s="14">
        <v>6941764438422</v>
      </c>
      <c r="C102" s="4">
        <v>28999</v>
      </c>
      <c r="D102" s="7" t="s">
        <v>11</v>
      </c>
      <c r="E102" s="7" t="s">
        <v>12</v>
      </c>
      <c r="F102" s="4" t="s">
        <v>9</v>
      </c>
      <c r="G102" s="6" t="s">
        <v>10</v>
      </c>
    </row>
    <row r="103" spans="1:7" ht="15" thickBot="1" x14ac:dyDescent="0.4">
      <c r="A103" s="8" t="s">
        <v>304</v>
      </c>
      <c r="B103" s="14">
        <v>6941764438484</v>
      </c>
      <c r="C103" s="4">
        <v>30999</v>
      </c>
      <c r="D103" s="7" t="s">
        <v>11</v>
      </c>
      <c r="E103" s="7" t="s">
        <v>12</v>
      </c>
      <c r="F103" s="4" t="s">
        <v>9</v>
      </c>
      <c r="G103" s="6" t="s">
        <v>10</v>
      </c>
    </row>
    <row r="104" spans="1:7" ht="15" thickBot="1" x14ac:dyDescent="0.4">
      <c r="A104" s="8" t="s">
        <v>305</v>
      </c>
      <c r="B104" s="14">
        <v>6941764438569</v>
      </c>
      <c r="C104" s="4">
        <v>30999</v>
      </c>
      <c r="D104" s="7" t="s">
        <v>11</v>
      </c>
      <c r="E104" s="7" t="s">
        <v>12</v>
      </c>
      <c r="F104" s="4" t="s">
        <v>9</v>
      </c>
      <c r="G104" s="6" t="s">
        <v>10</v>
      </c>
    </row>
    <row r="105" spans="1:7" ht="15" thickBot="1" x14ac:dyDescent="0.4">
      <c r="A105" s="8" t="s">
        <v>306</v>
      </c>
      <c r="B105" s="14">
        <v>6941764438491</v>
      </c>
      <c r="C105" s="4">
        <v>32999</v>
      </c>
      <c r="D105" s="7" t="s">
        <v>11</v>
      </c>
      <c r="E105" s="7" t="s">
        <v>12</v>
      </c>
      <c r="F105" s="4" t="s">
        <v>9</v>
      </c>
      <c r="G105" s="6" t="s">
        <v>10</v>
      </c>
    </row>
    <row r="106" spans="1:7" ht="15" thickBot="1" x14ac:dyDescent="0.4">
      <c r="A106" s="8" t="s">
        <v>307</v>
      </c>
      <c r="B106" s="14">
        <v>6941764438576</v>
      </c>
      <c r="C106" s="4">
        <v>32999</v>
      </c>
      <c r="D106" s="7" t="s">
        <v>11</v>
      </c>
      <c r="E106" s="7" t="s">
        <v>12</v>
      </c>
      <c r="F106" s="4" t="s">
        <v>9</v>
      </c>
      <c r="G106" s="6" t="s">
        <v>10</v>
      </c>
    </row>
    <row r="107" spans="1:7" ht="15" thickBot="1" x14ac:dyDescent="0.4">
      <c r="A107" s="8" t="s">
        <v>308</v>
      </c>
      <c r="B107" s="14">
        <v>6941764438507</v>
      </c>
      <c r="C107" s="4">
        <v>34999</v>
      </c>
      <c r="D107" s="7" t="s">
        <v>11</v>
      </c>
      <c r="E107" s="7" t="s">
        <v>12</v>
      </c>
      <c r="F107" s="4" t="s">
        <v>9</v>
      </c>
      <c r="G107" s="6" t="s">
        <v>10</v>
      </c>
    </row>
    <row r="108" spans="1:7" ht="15" thickBot="1" x14ac:dyDescent="0.4">
      <c r="A108" s="8" t="s">
        <v>309</v>
      </c>
      <c r="B108" s="14">
        <v>6941764438583</v>
      </c>
      <c r="C108" s="4">
        <v>34999</v>
      </c>
      <c r="D108" s="7" t="s">
        <v>11</v>
      </c>
      <c r="E108" s="7" t="s">
        <v>12</v>
      </c>
      <c r="F108" s="4" t="s">
        <v>9</v>
      </c>
      <c r="G108" s="6" t="s">
        <v>10</v>
      </c>
    </row>
    <row r="109" spans="1:7" ht="15" thickBot="1" x14ac:dyDescent="0.4">
      <c r="A109" s="8" t="s">
        <v>310</v>
      </c>
      <c r="B109" s="14">
        <v>6941764438521</v>
      </c>
      <c r="C109" s="4">
        <v>30999</v>
      </c>
      <c r="D109" s="7" t="s">
        <v>11</v>
      </c>
      <c r="E109" s="7" t="s">
        <v>12</v>
      </c>
      <c r="F109" s="4" t="s">
        <v>9</v>
      </c>
      <c r="G109" s="6" t="s">
        <v>10</v>
      </c>
    </row>
    <row r="110" spans="1:7" ht="15" thickBot="1" x14ac:dyDescent="0.4">
      <c r="A110" s="8" t="s">
        <v>311</v>
      </c>
      <c r="B110" s="14">
        <v>6941764438538</v>
      </c>
      <c r="C110" s="4">
        <v>32999</v>
      </c>
      <c r="D110" s="7" t="s">
        <v>11</v>
      </c>
      <c r="E110" s="7" t="s">
        <v>12</v>
      </c>
      <c r="F110" s="4" t="s">
        <v>9</v>
      </c>
      <c r="G110" s="6" t="s">
        <v>10</v>
      </c>
    </row>
    <row r="111" spans="1:7" ht="15" thickBot="1" x14ac:dyDescent="0.4">
      <c r="A111" s="8" t="s">
        <v>312</v>
      </c>
      <c r="B111" s="14">
        <v>6941764438545</v>
      </c>
      <c r="C111" s="4">
        <v>34999</v>
      </c>
      <c r="D111" s="7" t="s">
        <v>11</v>
      </c>
      <c r="E111" s="7" t="s">
        <v>12</v>
      </c>
      <c r="F111" s="4" t="s">
        <v>9</v>
      </c>
      <c r="G111" s="6" t="s">
        <v>10</v>
      </c>
    </row>
    <row r="112" spans="1:7" ht="15" thickBot="1" x14ac:dyDescent="0.4">
      <c r="A112" s="8" t="s">
        <v>313</v>
      </c>
      <c r="B112" s="14">
        <v>6941764446250</v>
      </c>
      <c r="C112" s="4">
        <v>17999</v>
      </c>
      <c r="D112" s="7" t="s">
        <v>11</v>
      </c>
      <c r="E112" s="7" t="s">
        <v>12</v>
      </c>
      <c r="F112" s="4" t="s">
        <v>9</v>
      </c>
      <c r="G112" s="6" t="s">
        <v>10</v>
      </c>
    </row>
    <row r="113" spans="1:7" ht="15" thickBot="1" x14ac:dyDescent="0.4">
      <c r="A113" s="8" t="s">
        <v>314</v>
      </c>
      <c r="B113" s="14">
        <v>6941764444843</v>
      </c>
      <c r="C113" s="4">
        <v>17999</v>
      </c>
      <c r="D113" s="7" t="s">
        <v>11</v>
      </c>
      <c r="E113" s="7" t="s">
        <v>12</v>
      </c>
      <c r="F113" s="4" t="s">
        <v>9</v>
      </c>
      <c r="G113" s="6" t="s">
        <v>10</v>
      </c>
    </row>
    <row r="114" spans="1:7" ht="15" thickBot="1" x14ac:dyDescent="0.4">
      <c r="A114" s="8" t="s">
        <v>315</v>
      </c>
      <c r="B114" s="14">
        <v>6941764444782</v>
      </c>
      <c r="C114" s="4">
        <v>17999</v>
      </c>
      <c r="D114" s="7" t="s">
        <v>11</v>
      </c>
      <c r="E114" s="7" t="s">
        <v>12</v>
      </c>
      <c r="F114" s="4" t="s">
        <v>9</v>
      </c>
      <c r="G114" s="6" t="s">
        <v>10</v>
      </c>
    </row>
    <row r="115" spans="1:7" ht="15" thickBot="1" x14ac:dyDescent="0.4">
      <c r="A115" s="8" t="s">
        <v>316</v>
      </c>
      <c r="B115" s="14">
        <v>6941764444768</v>
      </c>
      <c r="C115" s="4">
        <v>19999</v>
      </c>
      <c r="D115" s="7" t="s">
        <v>11</v>
      </c>
      <c r="E115" s="7" t="s">
        <v>12</v>
      </c>
      <c r="F115" s="4" t="s">
        <v>9</v>
      </c>
      <c r="G115" s="6" t="s">
        <v>10</v>
      </c>
    </row>
    <row r="116" spans="1:7" ht="15" thickBot="1" x14ac:dyDescent="0.4">
      <c r="A116" s="8" t="s">
        <v>317</v>
      </c>
      <c r="B116" s="14">
        <v>6941764444799</v>
      </c>
      <c r="C116" s="4">
        <v>19999</v>
      </c>
      <c r="D116" s="7" t="s">
        <v>11</v>
      </c>
      <c r="E116" s="7" t="s">
        <v>12</v>
      </c>
      <c r="F116" s="4" t="s">
        <v>9</v>
      </c>
      <c r="G116" s="6" t="s">
        <v>10</v>
      </c>
    </row>
    <row r="117" spans="1:7" ht="15" thickBot="1" x14ac:dyDescent="0.4">
      <c r="A117" s="8" t="s">
        <v>318</v>
      </c>
      <c r="B117" s="14">
        <v>6941764444850</v>
      </c>
      <c r="C117" s="4">
        <v>19999</v>
      </c>
      <c r="D117" s="7" t="s">
        <v>11</v>
      </c>
      <c r="E117" s="7" t="s">
        <v>12</v>
      </c>
      <c r="F117" s="4" t="s">
        <v>9</v>
      </c>
      <c r="G117" s="6" t="s">
        <v>10</v>
      </c>
    </row>
    <row r="118" spans="1:7" ht="15" thickBot="1" x14ac:dyDescent="0.4">
      <c r="A118" s="8" t="s">
        <v>319</v>
      </c>
      <c r="B118" s="14">
        <v>6941764444775</v>
      </c>
      <c r="C118" s="4">
        <v>24999</v>
      </c>
      <c r="D118" s="7" t="s">
        <v>11</v>
      </c>
      <c r="E118" s="7" t="s">
        <v>12</v>
      </c>
      <c r="F118" s="4" t="s">
        <v>9</v>
      </c>
      <c r="G118" s="6" t="s">
        <v>10</v>
      </c>
    </row>
    <row r="119" spans="1:7" ht="15" thickBot="1" x14ac:dyDescent="0.4">
      <c r="A119" s="8" t="s">
        <v>320</v>
      </c>
      <c r="B119" s="14">
        <v>6941764444805</v>
      </c>
      <c r="C119" s="4">
        <v>24999</v>
      </c>
      <c r="D119" s="7" t="s">
        <v>11</v>
      </c>
      <c r="E119" s="7" t="s">
        <v>12</v>
      </c>
      <c r="F119" s="4" t="s">
        <v>9</v>
      </c>
      <c r="G119" s="6" t="s">
        <v>10</v>
      </c>
    </row>
    <row r="120" spans="1:7" ht="15" thickBot="1" x14ac:dyDescent="0.4">
      <c r="A120" s="8" t="s">
        <v>321</v>
      </c>
      <c r="B120" s="14">
        <v>6941764444867</v>
      </c>
      <c r="C120" s="4">
        <v>24999</v>
      </c>
      <c r="D120" s="7" t="s">
        <v>11</v>
      </c>
      <c r="E120" s="7" t="s">
        <v>12</v>
      </c>
      <c r="F120" s="4" t="s">
        <v>9</v>
      </c>
      <c r="G120" s="6" t="s">
        <v>10</v>
      </c>
    </row>
    <row r="121" spans="1:7" ht="15" thickBot="1" x14ac:dyDescent="0.4">
      <c r="A121" s="8" t="s">
        <v>322</v>
      </c>
      <c r="B121" s="14">
        <v>6941764445857</v>
      </c>
      <c r="C121" s="4">
        <v>15999</v>
      </c>
      <c r="D121" s="7" t="s">
        <v>11</v>
      </c>
      <c r="E121" s="7" t="s">
        <v>12</v>
      </c>
      <c r="F121" s="4" t="s">
        <v>9</v>
      </c>
      <c r="G121" s="6" t="s">
        <v>10</v>
      </c>
    </row>
    <row r="122" spans="1:7" ht="15" thickBot="1" x14ac:dyDescent="0.4">
      <c r="A122" s="8" t="s">
        <v>323</v>
      </c>
      <c r="B122" s="14">
        <v>6941764445826</v>
      </c>
      <c r="C122" s="4">
        <v>15999</v>
      </c>
      <c r="D122" s="7" t="s">
        <v>11</v>
      </c>
      <c r="E122" s="7" t="s">
        <v>12</v>
      </c>
      <c r="F122" s="4" t="s">
        <v>9</v>
      </c>
      <c r="G122" s="6" t="s">
        <v>10</v>
      </c>
    </row>
    <row r="123" spans="1:7" ht="15" thickBot="1" x14ac:dyDescent="0.4">
      <c r="A123" s="8" t="s">
        <v>324</v>
      </c>
      <c r="B123" s="14">
        <v>6941764445864</v>
      </c>
      <c r="C123" s="4">
        <v>17999</v>
      </c>
      <c r="D123" s="7" t="s">
        <v>11</v>
      </c>
      <c r="E123" s="7" t="s">
        <v>12</v>
      </c>
      <c r="F123" s="4" t="s">
        <v>9</v>
      </c>
      <c r="G123" s="6" t="s">
        <v>10</v>
      </c>
    </row>
    <row r="124" spans="1:7" ht="15" thickBot="1" x14ac:dyDescent="0.4">
      <c r="A124" s="8" t="s">
        <v>325</v>
      </c>
      <c r="B124" s="14">
        <v>6941764445871</v>
      </c>
      <c r="C124" s="4">
        <v>17999</v>
      </c>
      <c r="D124" s="7" t="s">
        <v>11</v>
      </c>
      <c r="E124" s="7" t="s">
        <v>12</v>
      </c>
      <c r="F124" s="4" t="s">
        <v>9</v>
      </c>
      <c r="G124" s="6" t="s">
        <v>10</v>
      </c>
    </row>
    <row r="125" spans="1:7" ht="15" thickBot="1" x14ac:dyDescent="0.4">
      <c r="A125" s="8" t="s">
        <v>326</v>
      </c>
      <c r="B125" s="14">
        <v>6941764447462</v>
      </c>
      <c r="C125" s="4">
        <v>14999</v>
      </c>
      <c r="D125" s="7" t="s">
        <v>11</v>
      </c>
      <c r="E125" s="7" t="s">
        <v>12</v>
      </c>
      <c r="F125" s="4" t="s">
        <v>9</v>
      </c>
      <c r="G125" s="6" t="s">
        <v>10</v>
      </c>
    </row>
    <row r="126" spans="1:7" ht="15" thickBot="1" x14ac:dyDescent="0.4">
      <c r="A126" s="8" t="s">
        <v>327</v>
      </c>
      <c r="B126" s="14">
        <v>6941764429642</v>
      </c>
      <c r="C126" s="4">
        <v>14999</v>
      </c>
      <c r="D126" s="7" t="s">
        <v>11</v>
      </c>
      <c r="E126" s="7" t="s">
        <v>12</v>
      </c>
      <c r="F126" s="4" t="s">
        <v>9</v>
      </c>
      <c r="G126" s="6" t="s">
        <v>10</v>
      </c>
    </row>
    <row r="127" spans="1:7" ht="15" thickBot="1" x14ac:dyDescent="0.4">
      <c r="A127" s="8" t="s">
        <v>328</v>
      </c>
      <c r="B127" s="14">
        <v>6941764429598</v>
      </c>
      <c r="C127" s="4">
        <v>14999</v>
      </c>
      <c r="D127" s="7" t="s">
        <v>11</v>
      </c>
      <c r="E127" s="7" t="s">
        <v>12</v>
      </c>
      <c r="F127" s="4" t="s">
        <v>9</v>
      </c>
      <c r="G127" s="6" t="s">
        <v>10</v>
      </c>
    </row>
    <row r="128" spans="1:7" ht="15" thickBot="1" x14ac:dyDescent="0.4">
      <c r="A128" s="8" t="s">
        <v>329</v>
      </c>
      <c r="B128" s="14">
        <v>6941764447479</v>
      </c>
      <c r="C128" s="4">
        <v>15999</v>
      </c>
      <c r="D128" s="7" t="s">
        <v>11</v>
      </c>
      <c r="E128" s="7" t="s">
        <v>12</v>
      </c>
      <c r="F128" s="4" t="s">
        <v>9</v>
      </c>
      <c r="G128" s="6" t="s">
        <v>10</v>
      </c>
    </row>
    <row r="129" spans="1:7" ht="15" thickBot="1" x14ac:dyDescent="0.4">
      <c r="A129" s="8" t="s">
        <v>330</v>
      </c>
      <c r="B129" s="14">
        <v>6941764429628</v>
      </c>
      <c r="C129" s="4">
        <v>15999</v>
      </c>
      <c r="D129" s="7" t="s">
        <v>11</v>
      </c>
      <c r="E129" s="7" t="s">
        <v>12</v>
      </c>
      <c r="F129" s="4" t="s">
        <v>9</v>
      </c>
      <c r="G129" s="6" t="s">
        <v>10</v>
      </c>
    </row>
    <row r="130" spans="1:7" ht="15" thickBot="1" x14ac:dyDescent="0.4">
      <c r="A130" s="8" t="s">
        <v>331</v>
      </c>
      <c r="B130" s="14">
        <v>6941764429604</v>
      </c>
      <c r="C130" s="4">
        <v>15999</v>
      </c>
      <c r="D130" s="7" t="s">
        <v>11</v>
      </c>
      <c r="E130" s="7" t="s">
        <v>12</v>
      </c>
      <c r="F130" s="4" t="s">
        <v>9</v>
      </c>
      <c r="G130" s="6" t="s">
        <v>10</v>
      </c>
    </row>
    <row r="131" spans="1:7" ht="15" thickBot="1" x14ac:dyDescent="0.4">
      <c r="A131" s="8" t="s">
        <v>332</v>
      </c>
      <c r="B131" s="14">
        <v>6941764446564</v>
      </c>
      <c r="C131" s="4">
        <v>21999</v>
      </c>
      <c r="D131" s="7" t="s">
        <v>11</v>
      </c>
      <c r="E131" s="7" t="s">
        <v>12</v>
      </c>
      <c r="F131" s="4" t="s">
        <v>9</v>
      </c>
      <c r="G131" s="6" t="s">
        <v>10</v>
      </c>
    </row>
    <row r="132" spans="1:7" ht="15" thickBot="1" x14ac:dyDescent="0.4">
      <c r="A132" s="8" t="s">
        <v>333</v>
      </c>
      <c r="B132" s="14">
        <v>6941764446526</v>
      </c>
      <c r="C132" s="4">
        <v>21999</v>
      </c>
      <c r="D132" s="7" t="s">
        <v>11</v>
      </c>
      <c r="E132" s="7" t="s">
        <v>12</v>
      </c>
      <c r="F132" s="4" t="s">
        <v>9</v>
      </c>
      <c r="G132" s="6" t="s">
        <v>10</v>
      </c>
    </row>
    <row r="133" spans="1:7" ht="15" thickBot="1" x14ac:dyDescent="0.4">
      <c r="A133" s="8" t="s">
        <v>334</v>
      </c>
      <c r="B133" s="14">
        <v>6941764446588</v>
      </c>
      <c r="C133" s="4">
        <v>24999</v>
      </c>
      <c r="D133" s="7" t="s">
        <v>11</v>
      </c>
      <c r="E133" s="7" t="s">
        <v>12</v>
      </c>
      <c r="F133" s="4" t="s">
        <v>9</v>
      </c>
      <c r="G133" s="6" t="s">
        <v>10</v>
      </c>
    </row>
    <row r="134" spans="1:7" ht="15" thickBot="1" x14ac:dyDescent="0.4">
      <c r="A134" s="8" t="s">
        <v>335</v>
      </c>
      <c r="B134" s="14">
        <v>6941764446540</v>
      </c>
      <c r="C134" s="4">
        <v>24999</v>
      </c>
      <c r="D134" s="7" t="s">
        <v>11</v>
      </c>
      <c r="E134" s="7" t="s">
        <v>12</v>
      </c>
      <c r="F134" s="4" t="s">
        <v>9</v>
      </c>
      <c r="G134" s="6" t="s">
        <v>10</v>
      </c>
    </row>
    <row r="135" spans="1:7" ht="15" thickBot="1" x14ac:dyDescent="0.4">
      <c r="A135" s="8" t="s">
        <v>336</v>
      </c>
      <c r="B135" s="14">
        <v>6941764446595</v>
      </c>
      <c r="C135" s="4">
        <v>27999</v>
      </c>
      <c r="D135" s="7" t="s">
        <v>11</v>
      </c>
      <c r="E135" s="7" t="s">
        <v>12</v>
      </c>
      <c r="F135" s="4" t="s">
        <v>9</v>
      </c>
      <c r="G135" s="6" t="s">
        <v>10</v>
      </c>
    </row>
    <row r="136" spans="1:7" ht="15" thickBot="1" x14ac:dyDescent="0.4">
      <c r="A136" s="8" t="s">
        <v>337</v>
      </c>
      <c r="B136" s="14">
        <v>6941764446557</v>
      </c>
      <c r="C136" s="4">
        <v>27999</v>
      </c>
      <c r="D136" s="7" t="s">
        <v>11</v>
      </c>
      <c r="E136" s="7" t="s">
        <v>12</v>
      </c>
      <c r="F136" s="4" t="s">
        <v>9</v>
      </c>
      <c r="G136" s="6" t="s">
        <v>10</v>
      </c>
    </row>
    <row r="137" spans="1:7" ht="15" thickBot="1" x14ac:dyDescent="0.4">
      <c r="A137" s="8" t="s">
        <v>338</v>
      </c>
      <c r="B137" s="14">
        <v>6941764447578</v>
      </c>
      <c r="C137" s="4">
        <v>14999</v>
      </c>
      <c r="D137" s="5" t="s">
        <v>8</v>
      </c>
      <c r="E137" s="5" t="s">
        <v>8</v>
      </c>
      <c r="F137" s="4" t="s">
        <v>9</v>
      </c>
      <c r="G137" s="6" t="s">
        <v>10</v>
      </c>
    </row>
    <row r="138" spans="1:7" ht="15" thickBot="1" x14ac:dyDescent="0.4">
      <c r="A138" s="8" t="s">
        <v>339</v>
      </c>
      <c r="B138" s="14">
        <v>6941764443075</v>
      </c>
      <c r="C138" s="9">
        <v>30999</v>
      </c>
      <c r="D138" s="7" t="s">
        <v>11</v>
      </c>
      <c r="E138" s="7" t="s">
        <v>12</v>
      </c>
      <c r="F138" s="4" t="s">
        <v>9</v>
      </c>
      <c r="G138" s="6" t="s">
        <v>10</v>
      </c>
    </row>
    <row r="139" spans="1:7" ht="15" thickBot="1" x14ac:dyDescent="0.4">
      <c r="A139" s="8" t="s">
        <v>340</v>
      </c>
      <c r="B139" s="14">
        <v>6941764443082</v>
      </c>
      <c r="C139" s="9">
        <v>32999</v>
      </c>
      <c r="D139" s="7" t="s">
        <v>11</v>
      </c>
      <c r="E139" s="7" t="s">
        <v>12</v>
      </c>
      <c r="F139" s="4" t="s">
        <v>9</v>
      </c>
      <c r="G139" s="6" t="s">
        <v>10</v>
      </c>
    </row>
    <row r="140" spans="1:7" ht="15" thickBot="1" x14ac:dyDescent="0.4">
      <c r="A140" s="8" t="s">
        <v>341</v>
      </c>
      <c r="B140" s="14">
        <v>6941764443099</v>
      </c>
      <c r="C140" s="9">
        <v>35999</v>
      </c>
      <c r="D140" s="7" t="s">
        <v>11</v>
      </c>
      <c r="E140" s="7" t="s">
        <v>12</v>
      </c>
      <c r="F140" s="4" t="s">
        <v>9</v>
      </c>
      <c r="G140" s="6" t="s">
        <v>10</v>
      </c>
    </row>
    <row r="141" spans="1:7" ht="15" thickBot="1" x14ac:dyDescent="0.4">
      <c r="A141" s="8" t="s">
        <v>342</v>
      </c>
      <c r="B141" s="14">
        <v>6941764443105</v>
      </c>
      <c r="C141" s="9">
        <v>39999</v>
      </c>
      <c r="D141" s="7" t="s">
        <v>11</v>
      </c>
      <c r="E141" s="7" t="s">
        <v>12</v>
      </c>
      <c r="F141" s="4" t="s">
        <v>9</v>
      </c>
      <c r="G141" s="6" t="s">
        <v>10</v>
      </c>
    </row>
    <row r="142" spans="1:7" ht="15" thickBot="1" x14ac:dyDescent="0.4">
      <c r="A142" s="8" t="s">
        <v>343</v>
      </c>
      <c r="B142" s="14">
        <v>6941764447387</v>
      </c>
      <c r="C142" s="9">
        <v>19999</v>
      </c>
      <c r="D142" s="7" t="s">
        <v>11</v>
      </c>
      <c r="E142" s="7" t="s">
        <v>12</v>
      </c>
      <c r="F142" s="4" t="s">
        <v>9</v>
      </c>
      <c r="G142" s="6" t="s">
        <v>10</v>
      </c>
    </row>
    <row r="143" spans="1:7" ht="15" thickBot="1" x14ac:dyDescent="0.4">
      <c r="A143" s="8" t="s">
        <v>344</v>
      </c>
      <c r="B143" s="14">
        <v>6941764447363</v>
      </c>
      <c r="C143" s="9">
        <v>19999</v>
      </c>
      <c r="D143" s="7" t="s">
        <v>11</v>
      </c>
      <c r="E143" s="7" t="s">
        <v>12</v>
      </c>
      <c r="F143" s="4" t="s">
        <v>9</v>
      </c>
      <c r="G143" s="6" t="s">
        <v>10</v>
      </c>
    </row>
    <row r="144" spans="1:7" ht="15" thickBot="1" x14ac:dyDescent="0.4">
      <c r="A144" s="8" t="s">
        <v>345</v>
      </c>
      <c r="B144" s="14">
        <v>6941764447622</v>
      </c>
      <c r="C144" s="9">
        <v>16999</v>
      </c>
      <c r="D144" s="7" t="s">
        <v>11</v>
      </c>
      <c r="E144" s="7" t="s">
        <v>12</v>
      </c>
      <c r="F144" s="4" t="s">
        <v>9</v>
      </c>
      <c r="G144" s="6" t="s">
        <v>10</v>
      </c>
    </row>
    <row r="145" spans="1:7" ht="15" thickBot="1" x14ac:dyDescent="0.4">
      <c r="A145" s="8" t="s">
        <v>346</v>
      </c>
      <c r="B145" s="14">
        <v>6941764447639</v>
      </c>
      <c r="C145" s="9">
        <v>16999</v>
      </c>
      <c r="D145" s="7" t="s">
        <v>11</v>
      </c>
      <c r="E145" s="7" t="s">
        <v>12</v>
      </c>
      <c r="F145" s="4" t="s">
        <v>9</v>
      </c>
      <c r="G145" s="6" t="s">
        <v>10</v>
      </c>
    </row>
    <row r="146" spans="1:7" ht="15" thickBot="1" x14ac:dyDescent="0.4">
      <c r="A146" s="8" t="s">
        <v>347</v>
      </c>
      <c r="B146" s="14">
        <v>6941764432833</v>
      </c>
      <c r="C146" s="9">
        <v>19999</v>
      </c>
      <c r="D146" s="7" t="s">
        <v>11</v>
      </c>
      <c r="E146" s="7" t="s">
        <v>12</v>
      </c>
      <c r="F146" s="4" t="s">
        <v>9</v>
      </c>
      <c r="G146" s="6" t="s">
        <v>10</v>
      </c>
    </row>
    <row r="147" spans="1:7" ht="15" thickBot="1" x14ac:dyDescent="0.4">
      <c r="A147" s="8" t="s">
        <v>348</v>
      </c>
      <c r="B147" s="14">
        <v>6941764432840</v>
      </c>
      <c r="C147" s="9">
        <v>19999</v>
      </c>
      <c r="D147" s="7" t="s">
        <v>11</v>
      </c>
      <c r="E147" s="7" t="s">
        <v>12</v>
      </c>
      <c r="F147" s="4" t="s">
        <v>9</v>
      </c>
      <c r="G147" s="6" t="s">
        <v>10</v>
      </c>
    </row>
    <row r="148" spans="1:7" ht="15" thickBot="1" x14ac:dyDescent="0.4">
      <c r="A148" s="8" t="s">
        <v>349</v>
      </c>
      <c r="B148" s="14">
        <v>6941764432864</v>
      </c>
      <c r="C148" s="9">
        <v>20999</v>
      </c>
      <c r="D148" s="7" t="s">
        <v>11</v>
      </c>
      <c r="E148" s="7" t="s">
        <v>12</v>
      </c>
      <c r="F148" s="4" t="s">
        <v>9</v>
      </c>
      <c r="G148" s="6" t="s">
        <v>10</v>
      </c>
    </row>
    <row r="149" spans="1:7" ht="15" thickBot="1" x14ac:dyDescent="0.4">
      <c r="A149" s="8" t="s">
        <v>350</v>
      </c>
      <c r="B149" s="14">
        <v>6941764432857</v>
      </c>
      <c r="C149" s="9">
        <v>20999</v>
      </c>
      <c r="D149" s="7" t="s">
        <v>11</v>
      </c>
      <c r="E149" s="7" t="s">
        <v>12</v>
      </c>
      <c r="F149" s="4" t="s">
        <v>9</v>
      </c>
      <c r="G149" s="6" t="s">
        <v>10</v>
      </c>
    </row>
    <row r="150" spans="1:7" ht="15" thickBot="1" x14ac:dyDescent="0.4">
      <c r="A150" s="8" t="s">
        <v>351</v>
      </c>
      <c r="B150" s="14">
        <v>6941764438682</v>
      </c>
      <c r="C150" s="9">
        <v>22999</v>
      </c>
      <c r="D150" s="7" t="s">
        <v>11</v>
      </c>
      <c r="E150" s="7" t="s">
        <v>12</v>
      </c>
      <c r="F150" s="4" t="s">
        <v>9</v>
      </c>
      <c r="G150" s="6" t="s">
        <v>10</v>
      </c>
    </row>
    <row r="151" spans="1:7" ht="15" thickBot="1" x14ac:dyDescent="0.4">
      <c r="A151" s="8" t="s">
        <v>352</v>
      </c>
      <c r="B151" s="14">
        <v>6941764438675</v>
      </c>
      <c r="C151" s="9">
        <v>22999</v>
      </c>
      <c r="D151" s="7" t="s">
        <v>11</v>
      </c>
      <c r="E151" s="7" t="s">
        <v>12</v>
      </c>
      <c r="F151" s="4" t="s">
        <v>9</v>
      </c>
      <c r="G151" s="6" t="s">
        <v>10</v>
      </c>
    </row>
    <row r="152" spans="1:7" ht="15" thickBot="1" x14ac:dyDescent="0.4">
      <c r="A152" s="8" t="s">
        <v>353</v>
      </c>
      <c r="B152" s="14">
        <v>6941764447691</v>
      </c>
      <c r="C152" s="10">
        <v>59999</v>
      </c>
      <c r="D152" s="11" t="s">
        <v>25</v>
      </c>
      <c r="E152" s="7" t="s">
        <v>26</v>
      </c>
      <c r="F152" s="4" t="s">
        <v>9</v>
      </c>
      <c r="G152" s="6" t="s">
        <v>10</v>
      </c>
    </row>
    <row r="153" spans="1:7" ht="15" thickBot="1" x14ac:dyDescent="0.4">
      <c r="A153" s="8" t="s">
        <v>354</v>
      </c>
      <c r="B153" s="14">
        <v>6941764447684</v>
      </c>
      <c r="C153" s="10">
        <v>59999</v>
      </c>
      <c r="D153" s="11" t="s">
        <v>25</v>
      </c>
      <c r="E153" s="7" t="s">
        <v>26</v>
      </c>
      <c r="F153" s="4" t="s">
        <v>9</v>
      </c>
      <c r="G153" s="6" t="s">
        <v>10</v>
      </c>
    </row>
    <row r="154" spans="1:7" ht="15" thickBot="1" x14ac:dyDescent="0.4">
      <c r="A154" s="8" t="s">
        <v>355</v>
      </c>
      <c r="B154" s="14">
        <v>6941764447783</v>
      </c>
      <c r="C154" s="10">
        <v>65999</v>
      </c>
      <c r="D154" s="11" t="s">
        <v>25</v>
      </c>
      <c r="E154" s="7" t="s">
        <v>26</v>
      </c>
      <c r="F154" s="4" t="s">
        <v>9</v>
      </c>
      <c r="G154" s="6" t="s">
        <v>10</v>
      </c>
    </row>
    <row r="155" spans="1:7" ht="15" thickBot="1" x14ac:dyDescent="0.4">
      <c r="A155" s="8" t="s">
        <v>356</v>
      </c>
      <c r="B155" s="14">
        <v>6941764447790</v>
      </c>
      <c r="C155" s="10">
        <v>65999</v>
      </c>
      <c r="D155" s="11" t="s">
        <v>25</v>
      </c>
      <c r="E155" s="7" t="s">
        <v>26</v>
      </c>
      <c r="F155" s="4" t="s">
        <v>9</v>
      </c>
      <c r="G155" s="6" t="s">
        <v>10</v>
      </c>
    </row>
    <row r="156" spans="1:7" ht="15" thickBot="1" x14ac:dyDescent="0.4">
      <c r="A156" s="8" t="s">
        <v>357</v>
      </c>
      <c r="B156" s="14">
        <v>6941764450820</v>
      </c>
      <c r="C156" s="9">
        <v>14999</v>
      </c>
      <c r="D156" s="7" t="s">
        <v>27</v>
      </c>
      <c r="E156" s="7" t="s">
        <v>28</v>
      </c>
      <c r="F156" s="4" t="s">
        <v>9</v>
      </c>
      <c r="G156" s="6" t="s">
        <v>10</v>
      </c>
    </row>
    <row r="157" spans="1:7" ht="15" thickBot="1" x14ac:dyDescent="0.4">
      <c r="A157" s="8" t="s">
        <v>358</v>
      </c>
      <c r="B157" s="14">
        <v>6941764450851</v>
      </c>
      <c r="C157" s="9">
        <v>14999</v>
      </c>
      <c r="D157" s="7" t="s">
        <v>27</v>
      </c>
      <c r="E157" s="7" t="s">
        <v>28</v>
      </c>
      <c r="F157" s="4" t="s">
        <v>9</v>
      </c>
      <c r="G157" s="6" t="s">
        <v>10</v>
      </c>
    </row>
    <row r="158" spans="1:7" ht="15" thickBot="1" x14ac:dyDescent="0.4">
      <c r="A158" s="8" t="s">
        <v>359</v>
      </c>
      <c r="B158" s="14">
        <v>6941764450882</v>
      </c>
      <c r="C158" s="9">
        <v>14999</v>
      </c>
      <c r="D158" s="7" t="s">
        <v>27</v>
      </c>
      <c r="E158" s="7" t="s">
        <v>28</v>
      </c>
      <c r="F158" s="4" t="s">
        <v>9</v>
      </c>
      <c r="G158" s="6" t="s">
        <v>10</v>
      </c>
    </row>
    <row r="159" spans="1:7" ht="15" thickBot="1" x14ac:dyDescent="0.4">
      <c r="A159" s="8" t="s">
        <v>360</v>
      </c>
      <c r="B159" s="14">
        <v>6941764450837</v>
      </c>
      <c r="C159" s="9">
        <v>15999</v>
      </c>
      <c r="D159" s="7" t="s">
        <v>27</v>
      </c>
      <c r="E159" s="7" t="s">
        <v>28</v>
      </c>
      <c r="F159" s="4" t="s">
        <v>9</v>
      </c>
      <c r="G159" s="6" t="s">
        <v>10</v>
      </c>
    </row>
    <row r="160" spans="1:7" ht="15" thickBot="1" x14ac:dyDescent="0.4">
      <c r="A160" s="8" t="s">
        <v>361</v>
      </c>
      <c r="B160" s="14">
        <v>6941764450868</v>
      </c>
      <c r="C160" s="9">
        <v>15999</v>
      </c>
      <c r="D160" s="7" t="s">
        <v>27</v>
      </c>
      <c r="E160" s="7" t="s">
        <v>28</v>
      </c>
      <c r="F160" s="4" t="s">
        <v>9</v>
      </c>
      <c r="G160" s="6" t="s">
        <v>10</v>
      </c>
    </row>
    <row r="161" spans="1:7" ht="15" thickBot="1" x14ac:dyDescent="0.4">
      <c r="A161" s="8" t="s">
        <v>362</v>
      </c>
      <c r="B161" s="14">
        <v>6941764450899</v>
      </c>
      <c r="C161" s="9">
        <v>15999</v>
      </c>
      <c r="D161" s="7" t="s">
        <v>27</v>
      </c>
      <c r="E161" s="7" t="s">
        <v>28</v>
      </c>
      <c r="F161" s="4" t="s">
        <v>9</v>
      </c>
      <c r="G161" s="6" t="s">
        <v>10</v>
      </c>
    </row>
    <row r="162" spans="1:7" ht="15" thickBot="1" x14ac:dyDescent="0.4">
      <c r="A162" s="8" t="s">
        <v>363</v>
      </c>
      <c r="B162" s="14">
        <v>6941764452268</v>
      </c>
      <c r="C162" s="9">
        <v>24999</v>
      </c>
      <c r="D162" s="7" t="s">
        <v>27</v>
      </c>
      <c r="E162" s="7" t="s">
        <v>28</v>
      </c>
      <c r="F162" s="4" t="s">
        <v>9</v>
      </c>
      <c r="G162" s="6" t="s">
        <v>10</v>
      </c>
    </row>
    <row r="163" spans="1:7" ht="15" thickBot="1" x14ac:dyDescent="0.4">
      <c r="A163" s="8" t="s">
        <v>364</v>
      </c>
      <c r="B163" s="14">
        <v>6941764453500</v>
      </c>
      <c r="C163" s="9">
        <v>24999</v>
      </c>
      <c r="D163" s="7" t="s">
        <v>27</v>
      </c>
      <c r="E163" s="7" t="s">
        <v>28</v>
      </c>
      <c r="F163" s="4" t="s">
        <v>9</v>
      </c>
      <c r="G163" s="6" t="s">
        <v>10</v>
      </c>
    </row>
    <row r="164" spans="1:7" ht="15" thickBot="1" x14ac:dyDescent="0.4">
      <c r="A164" s="8" t="s">
        <v>365</v>
      </c>
      <c r="B164" s="14">
        <v>6941764452299</v>
      </c>
      <c r="C164" s="9">
        <v>24999</v>
      </c>
      <c r="D164" s="7" t="s">
        <v>27</v>
      </c>
      <c r="E164" s="7" t="s">
        <v>28</v>
      </c>
      <c r="F164" s="4" t="s">
        <v>9</v>
      </c>
      <c r="G164" s="6" t="s">
        <v>10</v>
      </c>
    </row>
    <row r="165" spans="1:7" ht="15" thickBot="1" x14ac:dyDescent="0.4">
      <c r="A165" s="8" t="s">
        <v>366</v>
      </c>
      <c r="B165" s="14">
        <v>6941764452275</v>
      </c>
      <c r="C165" s="9">
        <v>26999</v>
      </c>
      <c r="D165" s="7" t="s">
        <v>27</v>
      </c>
      <c r="E165" s="7" t="s">
        <v>28</v>
      </c>
      <c r="F165" s="4" t="s">
        <v>9</v>
      </c>
      <c r="G165" s="6" t="s">
        <v>10</v>
      </c>
    </row>
    <row r="166" spans="1:7" ht="15" thickBot="1" x14ac:dyDescent="0.4">
      <c r="A166" s="8" t="s">
        <v>367</v>
      </c>
      <c r="B166" s="14">
        <v>6941764453517</v>
      </c>
      <c r="C166" s="9">
        <v>26999</v>
      </c>
      <c r="D166" s="7" t="s">
        <v>27</v>
      </c>
      <c r="E166" s="7" t="s">
        <v>28</v>
      </c>
      <c r="F166" s="4" t="s">
        <v>9</v>
      </c>
      <c r="G166" s="6" t="s">
        <v>10</v>
      </c>
    </row>
    <row r="167" spans="1:7" ht="15" thickBot="1" x14ac:dyDescent="0.4">
      <c r="A167" s="8" t="s">
        <v>368</v>
      </c>
      <c r="B167" s="14">
        <v>6941764452305</v>
      </c>
      <c r="C167" s="9">
        <v>26999</v>
      </c>
      <c r="D167" s="7" t="s">
        <v>27</v>
      </c>
      <c r="E167" s="7" t="s">
        <v>28</v>
      </c>
      <c r="F167" s="4" t="s">
        <v>9</v>
      </c>
      <c r="G167" s="6" t="s">
        <v>10</v>
      </c>
    </row>
    <row r="168" spans="1:7" ht="15" thickBot="1" x14ac:dyDescent="0.4">
      <c r="A168" s="8" t="s">
        <v>369</v>
      </c>
      <c r="B168" s="14">
        <v>6941764452466</v>
      </c>
      <c r="C168" s="9">
        <v>29999</v>
      </c>
      <c r="D168" s="7" t="s">
        <v>27</v>
      </c>
      <c r="E168" s="7" t="s">
        <v>28</v>
      </c>
      <c r="F168" s="4" t="s">
        <v>9</v>
      </c>
      <c r="G168" s="6" t="s">
        <v>10</v>
      </c>
    </row>
    <row r="169" spans="1:7" ht="15" thickBot="1" x14ac:dyDescent="0.4">
      <c r="A169" s="8" t="s">
        <v>370</v>
      </c>
      <c r="B169" s="14">
        <v>6941764452534</v>
      </c>
      <c r="C169" s="9">
        <v>29999</v>
      </c>
      <c r="D169" s="7" t="s">
        <v>27</v>
      </c>
      <c r="E169" s="7" t="s">
        <v>28</v>
      </c>
      <c r="F169" s="4" t="s">
        <v>9</v>
      </c>
      <c r="G169" s="6" t="s">
        <v>10</v>
      </c>
    </row>
    <row r="170" spans="1:7" ht="15" thickBot="1" x14ac:dyDescent="0.4">
      <c r="A170" s="8" t="s">
        <v>371</v>
      </c>
      <c r="B170" s="14">
        <v>6941764452541</v>
      </c>
      <c r="C170" s="9">
        <v>29999</v>
      </c>
      <c r="D170" s="7" t="s">
        <v>27</v>
      </c>
      <c r="E170" s="7" t="s">
        <v>28</v>
      </c>
      <c r="F170" s="4" t="s">
        <v>9</v>
      </c>
      <c r="G170" s="6" t="s">
        <v>10</v>
      </c>
    </row>
    <row r="171" spans="1:7" ht="15" thickBot="1" x14ac:dyDescent="0.4">
      <c r="A171" s="8" t="s">
        <v>372</v>
      </c>
      <c r="B171" s="14">
        <v>6941764452473</v>
      </c>
      <c r="C171" s="9">
        <v>31999</v>
      </c>
      <c r="D171" s="7" t="s">
        <v>27</v>
      </c>
      <c r="E171" s="7" t="s">
        <v>28</v>
      </c>
      <c r="F171" s="4" t="s">
        <v>9</v>
      </c>
      <c r="G171" s="6" t="s">
        <v>10</v>
      </c>
    </row>
    <row r="172" spans="1:7" ht="15" thickBot="1" x14ac:dyDescent="0.4">
      <c r="A172" s="8" t="s">
        <v>373</v>
      </c>
      <c r="B172" s="14">
        <v>6941764452527</v>
      </c>
      <c r="C172" s="9">
        <v>31999</v>
      </c>
      <c r="D172" s="7" t="s">
        <v>27</v>
      </c>
      <c r="E172" s="7" t="s">
        <v>28</v>
      </c>
      <c r="F172" s="4" t="s">
        <v>9</v>
      </c>
      <c r="G172" s="6" t="s">
        <v>10</v>
      </c>
    </row>
    <row r="173" spans="1:7" ht="15" thickBot="1" x14ac:dyDescent="0.4">
      <c r="A173" s="8" t="s">
        <v>374</v>
      </c>
      <c r="B173" s="14">
        <v>6941764452558</v>
      </c>
      <c r="C173" s="9">
        <v>31999</v>
      </c>
      <c r="D173" s="7" t="s">
        <v>27</v>
      </c>
      <c r="E173" s="7" t="s">
        <v>28</v>
      </c>
      <c r="F173" s="4" t="s">
        <v>9</v>
      </c>
      <c r="G173" s="6" t="s">
        <v>10</v>
      </c>
    </row>
    <row r="174" spans="1:7" ht="15" thickBot="1" x14ac:dyDescent="0.4">
      <c r="A174" s="8" t="s">
        <v>375</v>
      </c>
      <c r="B174" s="14">
        <v>6941764452480</v>
      </c>
      <c r="C174" s="9">
        <v>34999</v>
      </c>
      <c r="D174" s="7" t="s">
        <v>27</v>
      </c>
      <c r="E174" s="7" t="s">
        <v>28</v>
      </c>
      <c r="F174" s="4" t="s">
        <v>9</v>
      </c>
      <c r="G174" s="6" t="s">
        <v>10</v>
      </c>
    </row>
    <row r="175" spans="1:7" ht="15" thickBot="1" x14ac:dyDescent="0.4">
      <c r="A175" s="8" t="s">
        <v>376</v>
      </c>
      <c r="B175" s="14">
        <v>6941764452510</v>
      </c>
      <c r="C175" s="9">
        <v>34999</v>
      </c>
      <c r="D175" s="7" t="s">
        <v>27</v>
      </c>
      <c r="E175" s="7" t="s">
        <v>28</v>
      </c>
      <c r="F175" s="4" t="s">
        <v>9</v>
      </c>
      <c r="G175" s="6" t="s">
        <v>10</v>
      </c>
    </row>
    <row r="176" spans="1:7" ht="15" thickBot="1" x14ac:dyDescent="0.4">
      <c r="A176" s="8" t="s">
        <v>377</v>
      </c>
      <c r="B176" s="14">
        <v>6941764452565</v>
      </c>
      <c r="C176" s="9">
        <v>34999</v>
      </c>
      <c r="D176" s="7" t="s">
        <v>27</v>
      </c>
      <c r="E176" s="7" t="s">
        <v>28</v>
      </c>
      <c r="F176" s="4" t="s">
        <v>9</v>
      </c>
      <c r="G176" s="6" t="s">
        <v>10</v>
      </c>
    </row>
    <row r="177" spans="1:7" ht="15" thickBot="1" x14ac:dyDescent="0.4">
      <c r="A177" s="8" t="s">
        <v>378</v>
      </c>
      <c r="B177" s="14">
        <v>6941764456785</v>
      </c>
      <c r="C177" s="9">
        <v>13999</v>
      </c>
      <c r="D177" s="7" t="s">
        <v>11</v>
      </c>
      <c r="E177" s="7" t="s">
        <v>12</v>
      </c>
      <c r="F177" s="4" t="s">
        <v>9</v>
      </c>
      <c r="G177" s="6" t="s">
        <v>10</v>
      </c>
    </row>
    <row r="178" spans="1:7" ht="15" thickBot="1" x14ac:dyDescent="0.4">
      <c r="A178" s="8" t="s">
        <v>379</v>
      </c>
      <c r="B178" s="14">
        <v>6941764456792</v>
      </c>
      <c r="C178" s="9">
        <v>13999</v>
      </c>
      <c r="D178" s="7" t="s">
        <v>11</v>
      </c>
      <c r="E178" s="7" t="s">
        <v>12</v>
      </c>
      <c r="F178" s="4" t="s">
        <v>9</v>
      </c>
      <c r="G178" s="6" t="s">
        <v>10</v>
      </c>
    </row>
    <row r="179" spans="1:7" ht="15" thickBot="1" x14ac:dyDescent="0.4">
      <c r="A179" s="8" t="s">
        <v>380</v>
      </c>
      <c r="B179" s="14">
        <v>6941764456808</v>
      </c>
      <c r="C179" s="9">
        <v>14999</v>
      </c>
      <c r="D179" s="7" t="s">
        <v>11</v>
      </c>
      <c r="E179" s="7" t="s">
        <v>12</v>
      </c>
      <c r="F179" s="4" t="s">
        <v>9</v>
      </c>
      <c r="G179" s="6" t="s">
        <v>10</v>
      </c>
    </row>
    <row r="180" spans="1:7" ht="15" thickBot="1" x14ac:dyDescent="0.4">
      <c r="A180" s="8" t="s">
        <v>381</v>
      </c>
      <c r="B180" s="14">
        <v>6941764456815</v>
      </c>
      <c r="C180" s="9">
        <v>14999</v>
      </c>
      <c r="D180" s="7" t="s">
        <v>11</v>
      </c>
      <c r="E180" s="7" t="s">
        <v>12</v>
      </c>
      <c r="F180" s="4" t="s">
        <v>9</v>
      </c>
      <c r="G180" s="6" t="s">
        <v>10</v>
      </c>
    </row>
    <row r="181" spans="1:7" ht="15" thickBot="1" x14ac:dyDescent="0.4">
      <c r="A181" s="8" t="s">
        <v>382</v>
      </c>
      <c r="B181" s="14">
        <v>6941764456846</v>
      </c>
      <c r="C181" s="9">
        <v>13999</v>
      </c>
      <c r="D181" s="7" t="s">
        <v>11</v>
      </c>
      <c r="E181" s="7" t="s">
        <v>12</v>
      </c>
      <c r="F181" s="4" t="s">
        <v>9</v>
      </c>
      <c r="G181" s="6" t="s">
        <v>10</v>
      </c>
    </row>
    <row r="182" spans="1:7" ht="15" thickBot="1" x14ac:dyDescent="0.4">
      <c r="A182" s="8" t="s">
        <v>383</v>
      </c>
      <c r="B182" s="14">
        <v>6941764456853</v>
      </c>
      <c r="C182" s="9">
        <v>14999</v>
      </c>
      <c r="D182" s="7" t="s">
        <v>11</v>
      </c>
      <c r="E182" s="7" t="s">
        <v>12</v>
      </c>
      <c r="F182" s="4" t="s">
        <v>9</v>
      </c>
      <c r="G182" s="6" t="s">
        <v>10</v>
      </c>
    </row>
    <row r="183" spans="1:7" ht="15" thickBot="1" x14ac:dyDescent="0.4">
      <c r="A183" s="8" t="s">
        <v>384</v>
      </c>
      <c r="B183" s="14">
        <v>6941764458642</v>
      </c>
      <c r="C183" s="9">
        <v>23999</v>
      </c>
      <c r="D183" s="7" t="s">
        <v>11</v>
      </c>
      <c r="E183" s="7" t="s">
        <v>12</v>
      </c>
      <c r="F183" s="4" t="s">
        <v>9</v>
      </c>
      <c r="G183" s="6" t="s">
        <v>10</v>
      </c>
    </row>
    <row r="184" spans="1:7" ht="15" thickBot="1" x14ac:dyDescent="0.4">
      <c r="A184" s="8" t="s">
        <v>385</v>
      </c>
      <c r="B184" s="14">
        <v>6941764458659</v>
      </c>
      <c r="C184" s="9">
        <v>23999</v>
      </c>
      <c r="D184" s="7" t="s">
        <v>11</v>
      </c>
      <c r="E184" s="7" t="s">
        <v>12</v>
      </c>
      <c r="F184" s="4" t="s">
        <v>9</v>
      </c>
      <c r="G184" s="6" t="s">
        <v>10</v>
      </c>
    </row>
    <row r="185" spans="1:7" ht="15" thickBot="1" x14ac:dyDescent="0.4">
      <c r="A185" s="8" t="s">
        <v>386</v>
      </c>
      <c r="B185" s="14">
        <v>6941764458666</v>
      </c>
      <c r="C185" s="9">
        <v>23999</v>
      </c>
      <c r="D185" s="7" t="s">
        <v>11</v>
      </c>
      <c r="E185" s="7" t="s">
        <v>12</v>
      </c>
      <c r="F185" s="4" t="s">
        <v>9</v>
      </c>
      <c r="G185" s="6" t="s">
        <v>10</v>
      </c>
    </row>
    <row r="186" spans="1:7" ht="15" thickBot="1" x14ac:dyDescent="0.4">
      <c r="A186" s="8" t="s">
        <v>387</v>
      </c>
      <c r="B186" s="14">
        <v>6941764458673</v>
      </c>
      <c r="C186" s="9">
        <v>24999</v>
      </c>
      <c r="D186" s="7" t="s">
        <v>11</v>
      </c>
      <c r="E186" s="7" t="s">
        <v>12</v>
      </c>
      <c r="F186" s="4" t="s">
        <v>9</v>
      </c>
      <c r="G186" s="6" t="s">
        <v>10</v>
      </c>
    </row>
    <row r="187" spans="1:7" ht="15" thickBot="1" x14ac:dyDescent="0.4">
      <c r="A187" s="8" t="s">
        <v>388</v>
      </c>
      <c r="B187" s="14">
        <v>6941764458680</v>
      </c>
      <c r="C187" s="9">
        <v>24999</v>
      </c>
      <c r="D187" s="7" t="s">
        <v>11</v>
      </c>
      <c r="E187" s="7" t="s">
        <v>12</v>
      </c>
      <c r="F187" s="4" t="s">
        <v>9</v>
      </c>
      <c r="G187" s="6" t="s">
        <v>10</v>
      </c>
    </row>
    <row r="188" spans="1:7" ht="15" thickBot="1" x14ac:dyDescent="0.4">
      <c r="A188" s="8" t="s">
        <v>389</v>
      </c>
      <c r="B188" s="14">
        <v>6941764458697</v>
      </c>
      <c r="C188" s="9">
        <v>24999</v>
      </c>
      <c r="D188" s="7" t="s">
        <v>11</v>
      </c>
      <c r="E188" s="7" t="s">
        <v>12</v>
      </c>
      <c r="F188" s="4" t="s">
        <v>9</v>
      </c>
      <c r="G188" s="6" t="s">
        <v>10</v>
      </c>
    </row>
    <row r="189" spans="1:7" ht="15" thickBot="1" x14ac:dyDescent="0.4">
      <c r="A189" s="8" t="s">
        <v>390</v>
      </c>
      <c r="B189" s="14">
        <v>6941764458703</v>
      </c>
      <c r="C189" s="9">
        <v>26999</v>
      </c>
      <c r="D189" s="7" t="s">
        <v>11</v>
      </c>
      <c r="E189" s="7" t="s">
        <v>12</v>
      </c>
      <c r="F189" s="4" t="s">
        <v>9</v>
      </c>
      <c r="G189" s="6" t="s">
        <v>10</v>
      </c>
    </row>
    <row r="190" spans="1:7" ht="15" thickBot="1" x14ac:dyDescent="0.4">
      <c r="A190" s="8" t="s">
        <v>391</v>
      </c>
      <c r="B190" s="14">
        <v>6941764458710</v>
      </c>
      <c r="C190" s="9">
        <v>26999</v>
      </c>
      <c r="D190" s="7" t="s">
        <v>11</v>
      </c>
      <c r="E190" s="7" t="s">
        <v>12</v>
      </c>
      <c r="F190" s="4" t="s">
        <v>9</v>
      </c>
      <c r="G190" s="6" t="s">
        <v>10</v>
      </c>
    </row>
    <row r="191" spans="1:7" ht="15" thickBot="1" x14ac:dyDescent="0.4">
      <c r="A191" s="8" t="s">
        <v>392</v>
      </c>
      <c r="B191" s="14">
        <v>6941764458727</v>
      </c>
      <c r="C191" s="9">
        <v>26999</v>
      </c>
      <c r="D191" s="7" t="s">
        <v>11</v>
      </c>
      <c r="E191" s="7" t="s">
        <v>12</v>
      </c>
      <c r="F191" s="4" t="s">
        <v>9</v>
      </c>
      <c r="G191" s="6" t="s">
        <v>10</v>
      </c>
    </row>
    <row r="192" spans="1:7" ht="15" thickBot="1" x14ac:dyDescent="0.4">
      <c r="A192" s="8" t="s">
        <v>393</v>
      </c>
      <c r="B192" s="14">
        <v>6941764452497</v>
      </c>
      <c r="C192" s="9">
        <v>37999</v>
      </c>
      <c r="D192" s="7" t="s">
        <v>27</v>
      </c>
      <c r="E192" s="7" t="s">
        <v>28</v>
      </c>
      <c r="F192" s="4" t="s">
        <v>9</v>
      </c>
      <c r="G192" s="6" t="s">
        <v>10</v>
      </c>
    </row>
    <row r="193" spans="1:7" ht="15" thickBot="1" x14ac:dyDescent="0.4">
      <c r="A193" s="8" t="s">
        <v>394</v>
      </c>
      <c r="B193" s="14">
        <v>6941764452503</v>
      </c>
      <c r="C193" s="9">
        <v>37999</v>
      </c>
      <c r="D193" s="7" t="s">
        <v>27</v>
      </c>
      <c r="E193" s="7" t="s">
        <v>28</v>
      </c>
      <c r="F193" s="4" t="s">
        <v>9</v>
      </c>
      <c r="G193" s="6" t="s">
        <v>10</v>
      </c>
    </row>
    <row r="194" spans="1:7" ht="15" thickBot="1" x14ac:dyDescent="0.4">
      <c r="A194" s="8" t="s">
        <v>395</v>
      </c>
      <c r="B194" s="14">
        <v>6941764452572</v>
      </c>
      <c r="C194" s="9">
        <v>37999</v>
      </c>
      <c r="D194" s="7" t="s">
        <v>27</v>
      </c>
      <c r="E194" s="7" t="s">
        <v>28</v>
      </c>
      <c r="F194" s="4" t="s">
        <v>9</v>
      </c>
      <c r="G194" s="6" t="s">
        <v>10</v>
      </c>
    </row>
    <row r="195" spans="1:7" ht="15" thickBot="1" x14ac:dyDescent="0.4">
      <c r="A195" s="8" t="s">
        <v>396</v>
      </c>
      <c r="B195" s="14">
        <v>6941764454729</v>
      </c>
      <c r="C195" s="9">
        <v>21999</v>
      </c>
      <c r="D195" s="7" t="s">
        <v>27</v>
      </c>
      <c r="E195" s="7" t="s">
        <v>28</v>
      </c>
      <c r="F195" s="4" t="s">
        <v>9</v>
      </c>
      <c r="G195" s="6" t="s">
        <v>10</v>
      </c>
    </row>
    <row r="196" spans="1:7" ht="15" thickBot="1" x14ac:dyDescent="0.4">
      <c r="A196" s="8" t="s">
        <v>397</v>
      </c>
      <c r="B196" s="14">
        <v>6941764454736</v>
      </c>
      <c r="C196" s="9">
        <v>21999</v>
      </c>
      <c r="D196" s="7" t="s">
        <v>27</v>
      </c>
      <c r="E196" s="7" t="s">
        <v>28</v>
      </c>
      <c r="F196" s="4" t="s">
        <v>9</v>
      </c>
      <c r="G196" s="6" t="s">
        <v>10</v>
      </c>
    </row>
    <row r="197" spans="1:7" ht="15" thickBot="1" x14ac:dyDescent="0.4">
      <c r="A197" s="8" t="s">
        <v>398</v>
      </c>
      <c r="B197" s="14">
        <v>6941764454750</v>
      </c>
      <c r="C197" s="9">
        <v>23999</v>
      </c>
      <c r="D197" s="7" t="s">
        <v>27</v>
      </c>
      <c r="E197" s="7" t="s">
        <v>28</v>
      </c>
      <c r="F197" s="4" t="s">
        <v>9</v>
      </c>
      <c r="G197" s="6" t="s">
        <v>10</v>
      </c>
    </row>
    <row r="198" spans="1:7" ht="15" thickBot="1" x14ac:dyDescent="0.4">
      <c r="A198" s="8" t="s">
        <v>399</v>
      </c>
      <c r="B198" s="14">
        <v>6941764454767</v>
      </c>
      <c r="C198" s="9">
        <v>23999</v>
      </c>
      <c r="D198" s="7" t="s">
        <v>27</v>
      </c>
      <c r="E198" s="7" t="s">
        <v>28</v>
      </c>
      <c r="F198" s="4" t="s">
        <v>9</v>
      </c>
      <c r="G198" s="6" t="s">
        <v>10</v>
      </c>
    </row>
    <row r="199" spans="1:7" ht="15" thickBot="1" x14ac:dyDescent="0.4">
      <c r="A199" s="8" t="s">
        <v>400</v>
      </c>
      <c r="B199" s="14">
        <v>6941764458864</v>
      </c>
      <c r="C199" s="9">
        <v>26999</v>
      </c>
      <c r="D199" s="7" t="s">
        <v>11</v>
      </c>
      <c r="E199" s="7" t="s">
        <v>12</v>
      </c>
      <c r="F199" s="4" t="s">
        <v>9</v>
      </c>
      <c r="G199" s="6" t="s">
        <v>10</v>
      </c>
    </row>
    <row r="200" spans="1:7" ht="15" thickBot="1" x14ac:dyDescent="0.4">
      <c r="A200" s="8" t="s">
        <v>401</v>
      </c>
      <c r="B200" s="14">
        <v>6941764458871</v>
      </c>
      <c r="C200" s="9">
        <v>26999</v>
      </c>
      <c r="D200" s="7" t="s">
        <v>11</v>
      </c>
      <c r="E200" s="7" t="s">
        <v>12</v>
      </c>
      <c r="F200" s="4" t="s">
        <v>9</v>
      </c>
      <c r="G200" s="6" t="s">
        <v>10</v>
      </c>
    </row>
    <row r="201" spans="1:7" ht="15" thickBot="1" x14ac:dyDescent="0.4">
      <c r="A201" s="8" t="s">
        <v>402</v>
      </c>
      <c r="B201" s="14">
        <v>6941764458888</v>
      </c>
      <c r="C201" s="9">
        <v>26999</v>
      </c>
      <c r="D201" s="7" t="s">
        <v>11</v>
      </c>
      <c r="E201" s="7" t="s">
        <v>12</v>
      </c>
      <c r="F201" s="4" t="s">
        <v>9</v>
      </c>
      <c r="G201" s="6" t="s">
        <v>10</v>
      </c>
    </row>
    <row r="202" spans="1:7" ht="15" thickBot="1" x14ac:dyDescent="0.4">
      <c r="A202" s="8" t="s">
        <v>403</v>
      </c>
      <c r="B202" s="14">
        <v>6941764458895</v>
      </c>
      <c r="C202" s="9">
        <v>27999</v>
      </c>
      <c r="D202" s="7" t="s">
        <v>11</v>
      </c>
      <c r="E202" s="7" t="s">
        <v>12</v>
      </c>
      <c r="F202" s="4" t="s">
        <v>9</v>
      </c>
      <c r="G202" s="6" t="s">
        <v>10</v>
      </c>
    </row>
    <row r="203" spans="1:7" ht="15" thickBot="1" x14ac:dyDescent="0.4">
      <c r="A203" s="8" t="s">
        <v>404</v>
      </c>
      <c r="B203" s="14">
        <v>6941764458901</v>
      </c>
      <c r="C203" s="9">
        <v>27999</v>
      </c>
      <c r="D203" s="7" t="s">
        <v>11</v>
      </c>
      <c r="E203" s="7" t="s">
        <v>12</v>
      </c>
      <c r="F203" s="4" t="s">
        <v>9</v>
      </c>
      <c r="G203" s="6" t="s">
        <v>10</v>
      </c>
    </row>
    <row r="204" spans="1:7" ht="15" thickBot="1" x14ac:dyDescent="0.4">
      <c r="A204" s="8" t="s">
        <v>405</v>
      </c>
      <c r="B204" s="14">
        <v>6941764458918</v>
      </c>
      <c r="C204" s="9">
        <v>27999</v>
      </c>
      <c r="D204" s="7" t="s">
        <v>11</v>
      </c>
      <c r="E204" s="7" t="s">
        <v>12</v>
      </c>
      <c r="F204" s="4" t="s">
        <v>9</v>
      </c>
      <c r="G204" s="6" t="s">
        <v>10</v>
      </c>
    </row>
    <row r="205" spans="1:7" ht="15" thickBot="1" x14ac:dyDescent="0.4">
      <c r="A205" s="8" t="s">
        <v>406</v>
      </c>
      <c r="B205" s="14">
        <v>6941764458925</v>
      </c>
      <c r="C205" s="9">
        <v>29999</v>
      </c>
      <c r="D205" s="7" t="s">
        <v>11</v>
      </c>
      <c r="E205" s="7" t="s">
        <v>12</v>
      </c>
      <c r="F205" s="4" t="s">
        <v>9</v>
      </c>
      <c r="G205" s="6" t="s">
        <v>10</v>
      </c>
    </row>
    <row r="206" spans="1:7" ht="15" thickBot="1" x14ac:dyDescent="0.4">
      <c r="A206" s="8" t="s">
        <v>407</v>
      </c>
      <c r="B206" s="14">
        <v>6941764458932</v>
      </c>
      <c r="C206" s="9">
        <v>29999</v>
      </c>
      <c r="D206" s="7" t="s">
        <v>11</v>
      </c>
      <c r="E206" s="7" t="s">
        <v>12</v>
      </c>
      <c r="F206" s="4" t="s">
        <v>9</v>
      </c>
      <c r="G206" s="6" t="s">
        <v>10</v>
      </c>
    </row>
    <row r="207" spans="1:7" ht="15" thickBot="1" x14ac:dyDescent="0.4">
      <c r="A207" s="8" t="s">
        <v>408</v>
      </c>
      <c r="B207" s="14">
        <v>6941764458949</v>
      </c>
      <c r="C207" s="9">
        <v>29999</v>
      </c>
      <c r="D207" s="7" t="s">
        <v>11</v>
      </c>
      <c r="E207" s="7" t="s">
        <v>12</v>
      </c>
      <c r="F207" s="4" t="s">
        <v>9</v>
      </c>
      <c r="G207" s="6" t="s">
        <v>10</v>
      </c>
    </row>
    <row r="208" spans="1:7" ht="15" thickBot="1" x14ac:dyDescent="0.4">
      <c r="A208" s="8" t="s">
        <v>409</v>
      </c>
      <c r="B208" s="14">
        <v>6941764460454</v>
      </c>
      <c r="C208" s="9">
        <v>16999</v>
      </c>
      <c r="D208" s="7" t="s">
        <v>11</v>
      </c>
      <c r="E208" s="7" t="s">
        <v>12</v>
      </c>
      <c r="F208" s="4" t="s">
        <v>9</v>
      </c>
      <c r="G208" s="6" t="s">
        <v>10</v>
      </c>
    </row>
    <row r="209" spans="1:7" ht="15" thickBot="1" x14ac:dyDescent="0.4">
      <c r="A209" s="8" t="s">
        <v>410</v>
      </c>
      <c r="B209" s="14">
        <v>6941764460461</v>
      </c>
      <c r="C209" s="9">
        <v>17999</v>
      </c>
      <c r="D209" s="7" t="s">
        <v>11</v>
      </c>
      <c r="E209" s="7" t="s">
        <v>12</v>
      </c>
      <c r="F209" s="4" t="s">
        <v>9</v>
      </c>
      <c r="G209" s="6" t="s">
        <v>10</v>
      </c>
    </row>
    <row r="210" spans="1:7" ht="15" thickBot="1" x14ac:dyDescent="0.4">
      <c r="A210" s="8" t="s">
        <v>411</v>
      </c>
      <c r="B210" s="14">
        <v>6941764460478</v>
      </c>
      <c r="C210" s="9">
        <v>19999</v>
      </c>
      <c r="D210" s="7" t="s">
        <v>11</v>
      </c>
      <c r="E210" s="7" t="s">
        <v>12</v>
      </c>
      <c r="F210" s="4" t="s">
        <v>9</v>
      </c>
      <c r="G210" s="6" t="s">
        <v>10</v>
      </c>
    </row>
    <row r="211" spans="1:7" ht="15" thickBot="1" x14ac:dyDescent="0.4">
      <c r="A211" s="8" t="s">
        <v>412</v>
      </c>
      <c r="B211" s="14">
        <v>6941764460485</v>
      </c>
      <c r="C211" s="9">
        <v>16999</v>
      </c>
      <c r="D211" s="7" t="s">
        <v>11</v>
      </c>
      <c r="E211" s="7" t="s">
        <v>12</v>
      </c>
      <c r="F211" s="4" t="s">
        <v>9</v>
      </c>
      <c r="G211" s="6" t="s">
        <v>10</v>
      </c>
    </row>
    <row r="212" spans="1:7" ht="15" thickBot="1" x14ac:dyDescent="0.4">
      <c r="A212" s="8" t="s">
        <v>413</v>
      </c>
      <c r="B212" s="14">
        <v>6941764460492</v>
      </c>
      <c r="C212" s="9">
        <v>17999</v>
      </c>
      <c r="D212" s="7" t="s">
        <v>11</v>
      </c>
      <c r="E212" s="7" t="s">
        <v>12</v>
      </c>
      <c r="F212" s="4" t="s">
        <v>9</v>
      </c>
      <c r="G212" s="6" t="s">
        <v>10</v>
      </c>
    </row>
    <row r="213" spans="1:7" ht="15" thickBot="1" x14ac:dyDescent="0.4">
      <c r="A213" s="8" t="s">
        <v>414</v>
      </c>
      <c r="B213" s="14">
        <v>6941764460508</v>
      </c>
      <c r="C213" s="9">
        <v>19999</v>
      </c>
      <c r="D213" s="7" t="s">
        <v>11</v>
      </c>
      <c r="E213" s="7" t="s">
        <v>12</v>
      </c>
      <c r="F213" s="4" t="s">
        <v>9</v>
      </c>
      <c r="G213" s="6" t="s">
        <v>10</v>
      </c>
    </row>
    <row r="214" spans="1:7" ht="15" thickBot="1" x14ac:dyDescent="0.4">
      <c r="A214" s="8" t="s">
        <v>415</v>
      </c>
      <c r="B214" s="14">
        <v>6941764460515</v>
      </c>
      <c r="C214" s="9">
        <v>16999</v>
      </c>
      <c r="D214" s="7" t="s">
        <v>11</v>
      </c>
      <c r="E214" s="7" t="s">
        <v>12</v>
      </c>
      <c r="F214" s="4" t="s">
        <v>9</v>
      </c>
      <c r="G214" s="6" t="s">
        <v>10</v>
      </c>
    </row>
    <row r="215" spans="1:7" ht="15" thickBot="1" x14ac:dyDescent="0.4">
      <c r="A215" s="8" t="s">
        <v>416</v>
      </c>
      <c r="B215" s="14">
        <v>6941764460522</v>
      </c>
      <c r="C215" s="9">
        <v>17999</v>
      </c>
      <c r="D215" s="7" t="s">
        <v>11</v>
      </c>
      <c r="E215" s="7" t="s">
        <v>12</v>
      </c>
      <c r="F215" s="4" t="s">
        <v>9</v>
      </c>
      <c r="G215" s="6" t="s">
        <v>10</v>
      </c>
    </row>
    <row r="216" spans="1:7" ht="15" thickBot="1" x14ac:dyDescent="0.4">
      <c r="A216" s="8" t="s">
        <v>417</v>
      </c>
      <c r="B216" s="14">
        <v>6941764460539</v>
      </c>
      <c r="C216" s="9">
        <v>19999</v>
      </c>
      <c r="D216" s="7" t="s">
        <v>11</v>
      </c>
      <c r="E216" s="7" t="s">
        <v>12</v>
      </c>
      <c r="F216" s="4" t="s">
        <v>9</v>
      </c>
      <c r="G216" s="6" t="s">
        <v>10</v>
      </c>
    </row>
    <row r="218" spans="1:7" ht="15.5" x14ac:dyDescent="0.35">
      <c r="A218" s="12"/>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8623F-5340-49DB-9B14-B66AB5465974}">
  <dimension ref="A2:K56"/>
  <sheetViews>
    <sheetView workbookViewId="0">
      <selection activeCell="B12" sqref="B12"/>
    </sheetView>
  </sheetViews>
  <sheetFormatPr defaultRowHeight="14.5" x14ac:dyDescent="0.35"/>
  <cols>
    <col min="1" max="1" width="44.7265625" customWidth="1"/>
    <col min="2" max="2" width="7.7265625" customWidth="1"/>
    <col min="3" max="3" width="11.6328125" customWidth="1"/>
    <col min="4" max="4" width="13.453125" bestFit="1" customWidth="1"/>
    <col min="5" max="5" width="7.90625" bestFit="1" customWidth="1"/>
    <col min="6" max="6" width="4.90625" bestFit="1" customWidth="1"/>
    <col min="7" max="7" width="5.1796875" bestFit="1" customWidth="1"/>
    <col min="8" max="8" width="49.7265625" bestFit="1" customWidth="1"/>
    <col min="9" max="9" width="7.1796875" bestFit="1" customWidth="1"/>
    <col min="10" max="10" width="22.1796875" bestFit="1" customWidth="1"/>
  </cols>
  <sheetData>
    <row r="2" spans="1:11" ht="15.5" x14ac:dyDescent="0.35">
      <c r="A2" s="12"/>
    </row>
    <row r="3" spans="1:11" ht="15" thickBot="1" x14ac:dyDescent="0.4"/>
    <row r="4" spans="1:11" ht="15" thickBot="1" x14ac:dyDescent="0.4">
      <c r="A4" s="15" t="s">
        <v>1</v>
      </c>
      <c r="B4" s="16" t="s">
        <v>38</v>
      </c>
      <c r="C4" s="16" t="s">
        <v>39</v>
      </c>
      <c r="D4" s="16" t="s">
        <v>2</v>
      </c>
      <c r="E4" s="16" t="s">
        <v>40</v>
      </c>
      <c r="F4" s="16" t="s">
        <v>3</v>
      </c>
      <c r="G4" s="17" t="s">
        <v>41</v>
      </c>
      <c r="H4" s="17" t="s">
        <v>42</v>
      </c>
      <c r="I4" s="17" t="s">
        <v>43</v>
      </c>
      <c r="J4" s="17" t="s">
        <v>42</v>
      </c>
    </row>
    <row r="5" spans="1:11" x14ac:dyDescent="0.35">
      <c r="A5" s="18" t="s">
        <v>363</v>
      </c>
      <c r="B5" s="9" t="s">
        <v>44</v>
      </c>
      <c r="C5" s="9" t="s">
        <v>45</v>
      </c>
      <c r="D5" s="20">
        <v>6941764452268</v>
      </c>
      <c r="E5" s="9">
        <v>22999</v>
      </c>
      <c r="F5" s="9">
        <v>24999</v>
      </c>
      <c r="G5" s="9">
        <v>2000</v>
      </c>
      <c r="H5" s="9" t="s">
        <v>114</v>
      </c>
      <c r="I5" s="9">
        <v>1000</v>
      </c>
      <c r="J5" s="9" t="s">
        <v>46</v>
      </c>
      <c r="K5">
        <f>G5*20%</f>
        <v>400</v>
      </c>
    </row>
    <row r="6" spans="1:11" x14ac:dyDescent="0.35">
      <c r="A6" s="18" t="s">
        <v>364</v>
      </c>
      <c r="B6" s="9" t="s">
        <v>44</v>
      </c>
      <c r="C6" s="9" t="s">
        <v>45</v>
      </c>
      <c r="D6" s="20">
        <v>6941764453500</v>
      </c>
      <c r="E6" s="9">
        <v>22999</v>
      </c>
      <c r="F6" s="9">
        <v>24999</v>
      </c>
      <c r="G6" s="9">
        <v>2000</v>
      </c>
      <c r="H6" s="9" t="s">
        <v>114</v>
      </c>
      <c r="I6" s="9">
        <v>1000</v>
      </c>
      <c r="J6" s="9" t="s">
        <v>46</v>
      </c>
      <c r="K6">
        <f t="shared" ref="K6:K32" si="0">G6*20%</f>
        <v>400</v>
      </c>
    </row>
    <row r="7" spans="1:11" x14ac:dyDescent="0.35">
      <c r="A7" s="18" t="s">
        <v>365</v>
      </c>
      <c r="B7" s="9" t="s">
        <v>44</v>
      </c>
      <c r="C7" s="9" t="s">
        <v>45</v>
      </c>
      <c r="D7" s="20">
        <v>6941764452299</v>
      </c>
      <c r="E7" s="9">
        <v>22999</v>
      </c>
      <c r="F7" s="9">
        <v>24999</v>
      </c>
      <c r="G7" s="9">
        <v>2000</v>
      </c>
      <c r="H7" s="9" t="s">
        <v>114</v>
      </c>
      <c r="I7" s="9">
        <v>1000</v>
      </c>
      <c r="J7" s="9" t="s">
        <v>46</v>
      </c>
      <c r="K7">
        <f t="shared" si="0"/>
        <v>400</v>
      </c>
    </row>
    <row r="8" spans="1:11" x14ac:dyDescent="0.35">
      <c r="A8" s="18" t="s">
        <v>366</v>
      </c>
      <c r="B8" s="9" t="s">
        <v>44</v>
      </c>
      <c r="C8" s="9" t="s">
        <v>47</v>
      </c>
      <c r="D8" s="20">
        <v>6941764452275</v>
      </c>
      <c r="E8" s="9">
        <v>24999</v>
      </c>
      <c r="F8" s="9">
        <v>26999</v>
      </c>
      <c r="G8" s="9">
        <v>2000</v>
      </c>
      <c r="H8" s="9" t="s">
        <v>114</v>
      </c>
      <c r="I8" s="9">
        <v>1000</v>
      </c>
      <c r="J8" s="9" t="s">
        <v>46</v>
      </c>
      <c r="K8">
        <f t="shared" si="0"/>
        <v>400</v>
      </c>
    </row>
    <row r="9" spans="1:11" x14ac:dyDescent="0.35">
      <c r="A9" s="18" t="s">
        <v>367</v>
      </c>
      <c r="B9" s="9" t="s">
        <v>44</v>
      </c>
      <c r="C9" s="9" t="s">
        <v>47</v>
      </c>
      <c r="D9" s="20">
        <v>6941764453517</v>
      </c>
      <c r="E9" s="9">
        <v>24999</v>
      </c>
      <c r="F9" s="9">
        <v>26999</v>
      </c>
      <c r="G9" s="9">
        <v>2000</v>
      </c>
      <c r="H9" s="9" t="s">
        <v>114</v>
      </c>
      <c r="I9" s="9">
        <v>1000</v>
      </c>
      <c r="J9" s="9" t="s">
        <v>46</v>
      </c>
      <c r="K9">
        <f t="shared" si="0"/>
        <v>400</v>
      </c>
    </row>
    <row r="10" spans="1:11" x14ac:dyDescent="0.35">
      <c r="A10" s="18" t="s">
        <v>368</v>
      </c>
      <c r="B10" s="9" t="s">
        <v>44</v>
      </c>
      <c r="C10" s="9" t="s">
        <v>47</v>
      </c>
      <c r="D10" s="20">
        <v>6941764452305</v>
      </c>
      <c r="E10" s="9">
        <v>24999</v>
      </c>
      <c r="F10" s="9">
        <v>26999</v>
      </c>
      <c r="G10" s="9">
        <v>2000</v>
      </c>
      <c r="H10" s="9" t="s">
        <v>114</v>
      </c>
      <c r="I10" s="9">
        <v>1000</v>
      </c>
      <c r="J10" s="9" t="s">
        <v>46</v>
      </c>
      <c r="K10">
        <f t="shared" si="0"/>
        <v>400</v>
      </c>
    </row>
    <row r="11" spans="1:11" x14ac:dyDescent="0.35">
      <c r="A11" s="18" t="s">
        <v>369</v>
      </c>
      <c r="B11" s="9" t="s">
        <v>48</v>
      </c>
      <c r="C11" s="9" t="s">
        <v>45</v>
      </c>
      <c r="D11" s="20">
        <v>6941764452466</v>
      </c>
      <c r="E11" s="9">
        <v>27999</v>
      </c>
      <c r="F11" s="9">
        <v>29999</v>
      </c>
      <c r="G11" s="9">
        <v>2000</v>
      </c>
      <c r="H11" s="9" t="s">
        <v>114</v>
      </c>
      <c r="I11" s="9">
        <v>1000</v>
      </c>
      <c r="J11" s="9" t="s">
        <v>46</v>
      </c>
      <c r="K11">
        <f t="shared" si="0"/>
        <v>400</v>
      </c>
    </row>
    <row r="12" spans="1:11" x14ac:dyDescent="0.35">
      <c r="A12" s="18" t="s">
        <v>370</v>
      </c>
      <c r="B12" s="9" t="s">
        <v>48</v>
      </c>
      <c r="C12" s="9" t="s">
        <v>45</v>
      </c>
      <c r="D12" s="20">
        <v>6941764452534</v>
      </c>
      <c r="E12" s="9">
        <v>27999</v>
      </c>
      <c r="F12" s="9">
        <v>29999</v>
      </c>
      <c r="G12" s="9">
        <v>2000</v>
      </c>
      <c r="H12" s="9" t="s">
        <v>114</v>
      </c>
      <c r="I12" s="9">
        <v>1000</v>
      </c>
      <c r="J12" s="9" t="s">
        <v>46</v>
      </c>
      <c r="K12">
        <f t="shared" si="0"/>
        <v>400</v>
      </c>
    </row>
    <row r="13" spans="1:11" x14ac:dyDescent="0.35">
      <c r="A13" s="18" t="s">
        <v>371</v>
      </c>
      <c r="B13" s="9" t="s">
        <v>48</v>
      </c>
      <c r="C13" s="9" t="s">
        <v>45</v>
      </c>
      <c r="D13" s="20">
        <v>6941764452541</v>
      </c>
      <c r="E13" s="9">
        <v>27999</v>
      </c>
      <c r="F13" s="9">
        <v>29999</v>
      </c>
      <c r="G13" s="9">
        <v>2000</v>
      </c>
      <c r="H13" s="9" t="s">
        <v>114</v>
      </c>
      <c r="I13" s="9">
        <v>1000</v>
      </c>
      <c r="J13" s="9" t="s">
        <v>46</v>
      </c>
      <c r="K13">
        <f t="shared" si="0"/>
        <v>400</v>
      </c>
    </row>
    <row r="14" spans="1:11" x14ac:dyDescent="0.35">
      <c r="A14" s="18" t="s">
        <v>372</v>
      </c>
      <c r="B14" s="9" t="s">
        <v>48</v>
      </c>
      <c r="C14" s="9" t="s">
        <v>47</v>
      </c>
      <c r="D14" s="20">
        <v>6941764452473</v>
      </c>
      <c r="E14" s="9">
        <v>29999</v>
      </c>
      <c r="F14" s="9">
        <v>31999</v>
      </c>
      <c r="G14" s="9">
        <v>2000</v>
      </c>
      <c r="H14" s="9" t="s">
        <v>114</v>
      </c>
      <c r="I14" s="9">
        <v>1000</v>
      </c>
      <c r="J14" s="9" t="s">
        <v>46</v>
      </c>
      <c r="K14">
        <f t="shared" si="0"/>
        <v>400</v>
      </c>
    </row>
    <row r="15" spans="1:11" x14ac:dyDescent="0.35">
      <c r="A15" s="18" t="s">
        <v>373</v>
      </c>
      <c r="B15" s="9" t="s">
        <v>48</v>
      </c>
      <c r="C15" s="9" t="s">
        <v>47</v>
      </c>
      <c r="D15" s="20">
        <v>6941764452527</v>
      </c>
      <c r="E15" s="9">
        <v>29999</v>
      </c>
      <c r="F15" s="9">
        <v>31999</v>
      </c>
      <c r="G15" s="9">
        <v>2000</v>
      </c>
      <c r="H15" s="9" t="s">
        <v>114</v>
      </c>
      <c r="I15" s="9">
        <v>1000</v>
      </c>
      <c r="J15" s="9" t="s">
        <v>46</v>
      </c>
      <c r="K15">
        <f t="shared" si="0"/>
        <v>400</v>
      </c>
    </row>
    <row r="16" spans="1:11" x14ac:dyDescent="0.35">
      <c r="A16" s="18" t="s">
        <v>374</v>
      </c>
      <c r="B16" s="9" t="s">
        <v>48</v>
      </c>
      <c r="C16" s="9" t="s">
        <v>47</v>
      </c>
      <c r="D16" s="20">
        <v>6941764452558</v>
      </c>
      <c r="E16" s="9">
        <v>29999</v>
      </c>
      <c r="F16" s="9">
        <v>31999</v>
      </c>
      <c r="G16" s="9">
        <v>2000</v>
      </c>
      <c r="H16" s="9" t="s">
        <v>114</v>
      </c>
      <c r="I16" s="9">
        <v>1000</v>
      </c>
      <c r="J16" s="9" t="s">
        <v>46</v>
      </c>
      <c r="K16">
        <f t="shared" si="0"/>
        <v>400</v>
      </c>
    </row>
    <row r="17" spans="1:11" x14ac:dyDescent="0.35">
      <c r="A17" s="18" t="s">
        <v>375</v>
      </c>
      <c r="B17" s="9" t="s">
        <v>48</v>
      </c>
      <c r="C17" s="9" t="s">
        <v>49</v>
      </c>
      <c r="D17" s="20">
        <v>6941764452480</v>
      </c>
      <c r="E17" s="9">
        <v>31999</v>
      </c>
      <c r="F17" s="9">
        <v>34999</v>
      </c>
      <c r="G17" s="9">
        <v>3000</v>
      </c>
      <c r="H17" s="9" t="s">
        <v>115</v>
      </c>
      <c r="I17" s="9">
        <v>1500</v>
      </c>
      <c r="J17" s="9" t="s">
        <v>46</v>
      </c>
      <c r="K17">
        <f t="shared" si="0"/>
        <v>600</v>
      </c>
    </row>
    <row r="18" spans="1:11" x14ac:dyDescent="0.35">
      <c r="A18" s="18" t="s">
        <v>376</v>
      </c>
      <c r="B18" s="9" t="s">
        <v>48</v>
      </c>
      <c r="C18" s="9" t="s">
        <v>49</v>
      </c>
      <c r="D18" s="20">
        <v>6941764452510</v>
      </c>
      <c r="E18" s="9">
        <v>31999</v>
      </c>
      <c r="F18" s="9">
        <v>34999</v>
      </c>
      <c r="G18" s="9">
        <v>3000</v>
      </c>
      <c r="H18" s="9" t="s">
        <v>115</v>
      </c>
      <c r="I18" s="9">
        <v>1500</v>
      </c>
      <c r="J18" s="9" t="s">
        <v>46</v>
      </c>
      <c r="K18">
        <f t="shared" si="0"/>
        <v>600</v>
      </c>
    </row>
    <row r="19" spans="1:11" x14ac:dyDescent="0.35">
      <c r="A19" s="18" t="s">
        <v>377</v>
      </c>
      <c r="B19" s="9" t="s">
        <v>48</v>
      </c>
      <c r="C19" s="9" t="s">
        <v>49</v>
      </c>
      <c r="D19" s="20">
        <v>6941764452565</v>
      </c>
      <c r="E19" s="9">
        <v>31999</v>
      </c>
      <c r="F19" s="9">
        <v>34999</v>
      </c>
      <c r="G19" s="9">
        <v>3000</v>
      </c>
      <c r="H19" s="9" t="s">
        <v>115</v>
      </c>
      <c r="I19" s="9">
        <v>1500</v>
      </c>
      <c r="J19" s="9" t="s">
        <v>46</v>
      </c>
      <c r="K19">
        <f t="shared" si="0"/>
        <v>600</v>
      </c>
    </row>
    <row r="20" spans="1:11" x14ac:dyDescent="0.35">
      <c r="A20" s="18" t="s">
        <v>393</v>
      </c>
      <c r="B20" s="9" t="s">
        <v>48</v>
      </c>
      <c r="C20" s="9" t="s">
        <v>50</v>
      </c>
      <c r="D20" s="20">
        <v>6941764452497</v>
      </c>
      <c r="E20" s="9">
        <v>34999</v>
      </c>
      <c r="F20" s="9">
        <v>37999</v>
      </c>
      <c r="G20" s="9">
        <v>3000</v>
      </c>
      <c r="H20" s="9" t="s">
        <v>115</v>
      </c>
      <c r="I20" s="9">
        <v>1500</v>
      </c>
      <c r="J20" s="9" t="s">
        <v>46</v>
      </c>
      <c r="K20">
        <f t="shared" si="0"/>
        <v>600</v>
      </c>
    </row>
    <row r="21" spans="1:11" x14ac:dyDescent="0.35">
      <c r="A21" s="18" t="s">
        <v>394</v>
      </c>
      <c r="B21" s="9" t="s">
        <v>48</v>
      </c>
      <c r="C21" s="9" t="s">
        <v>50</v>
      </c>
      <c r="D21" s="20">
        <v>6941764452503</v>
      </c>
      <c r="E21" s="9">
        <v>34999</v>
      </c>
      <c r="F21" s="9">
        <v>37999</v>
      </c>
      <c r="G21" s="9">
        <v>3000</v>
      </c>
      <c r="H21" s="9" t="s">
        <v>115</v>
      </c>
      <c r="I21" s="9">
        <v>1500</v>
      </c>
      <c r="J21" s="9" t="s">
        <v>46</v>
      </c>
      <c r="K21">
        <f t="shared" si="0"/>
        <v>600</v>
      </c>
    </row>
    <row r="22" spans="1:11" x14ac:dyDescent="0.35">
      <c r="A22" s="18" t="s">
        <v>395</v>
      </c>
      <c r="B22" s="9" t="s">
        <v>48</v>
      </c>
      <c r="C22" s="9" t="s">
        <v>50</v>
      </c>
      <c r="D22" s="20">
        <v>6941764452572</v>
      </c>
      <c r="E22" s="9">
        <v>34999</v>
      </c>
      <c r="F22" s="9">
        <v>37999</v>
      </c>
      <c r="G22" s="9">
        <v>3000</v>
      </c>
      <c r="H22" s="9" t="s">
        <v>115</v>
      </c>
      <c r="I22" s="9">
        <v>1500</v>
      </c>
      <c r="J22" s="9" t="s">
        <v>46</v>
      </c>
      <c r="K22">
        <f t="shared" si="0"/>
        <v>600</v>
      </c>
    </row>
    <row r="23" spans="1:11" x14ac:dyDescent="0.35">
      <c r="A23" s="18" t="s">
        <v>357</v>
      </c>
      <c r="B23" s="9" t="s">
        <v>51</v>
      </c>
      <c r="C23" s="9" t="s">
        <v>52</v>
      </c>
      <c r="D23" s="20">
        <v>6941764450820</v>
      </c>
      <c r="E23" s="9">
        <v>13999</v>
      </c>
      <c r="F23" s="9">
        <v>14999</v>
      </c>
      <c r="G23" s="9">
        <v>1000</v>
      </c>
      <c r="H23" s="9" t="s">
        <v>75</v>
      </c>
      <c r="I23" s="9" t="s">
        <v>53</v>
      </c>
      <c r="J23" s="9" t="s">
        <v>53</v>
      </c>
      <c r="K23">
        <f t="shared" si="0"/>
        <v>200</v>
      </c>
    </row>
    <row r="24" spans="1:11" x14ac:dyDescent="0.35">
      <c r="A24" s="18" t="s">
        <v>358</v>
      </c>
      <c r="B24" s="9" t="s">
        <v>51</v>
      </c>
      <c r="C24" s="9" t="s">
        <v>52</v>
      </c>
      <c r="D24" s="20">
        <v>6941764450851</v>
      </c>
      <c r="E24" s="9">
        <v>13999</v>
      </c>
      <c r="F24" s="9">
        <v>14999</v>
      </c>
      <c r="G24" s="9">
        <v>1000</v>
      </c>
      <c r="H24" s="9" t="s">
        <v>75</v>
      </c>
      <c r="I24" s="9" t="s">
        <v>53</v>
      </c>
      <c r="J24" s="9" t="s">
        <v>53</v>
      </c>
      <c r="K24">
        <f t="shared" si="0"/>
        <v>200</v>
      </c>
    </row>
    <row r="25" spans="1:11" x14ac:dyDescent="0.35">
      <c r="A25" s="18" t="s">
        <v>359</v>
      </c>
      <c r="B25" s="9" t="s">
        <v>51</v>
      </c>
      <c r="C25" s="9" t="s">
        <v>52</v>
      </c>
      <c r="D25" s="20">
        <v>6941764450882</v>
      </c>
      <c r="E25" s="9">
        <v>13999</v>
      </c>
      <c r="F25" s="9">
        <v>14999</v>
      </c>
      <c r="G25" s="9">
        <v>1000</v>
      </c>
      <c r="H25" s="9" t="s">
        <v>75</v>
      </c>
      <c r="I25" s="9" t="s">
        <v>53</v>
      </c>
      <c r="J25" s="9" t="s">
        <v>53</v>
      </c>
      <c r="K25">
        <f t="shared" si="0"/>
        <v>200</v>
      </c>
    </row>
    <row r="26" spans="1:11" x14ac:dyDescent="0.35">
      <c r="A26" s="18" t="s">
        <v>360</v>
      </c>
      <c r="B26" s="9" t="s">
        <v>51</v>
      </c>
      <c r="C26" s="9" t="s">
        <v>45</v>
      </c>
      <c r="D26" s="20">
        <v>6941764450837</v>
      </c>
      <c r="E26" s="9">
        <v>14999</v>
      </c>
      <c r="F26" s="9">
        <v>15999</v>
      </c>
      <c r="G26" s="9">
        <v>1000</v>
      </c>
      <c r="H26" s="9" t="s">
        <v>75</v>
      </c>
      <c r="I26" s="9" t="s">
        <v>53</v>
      </c>
      <c r="J26" s="9" t="s">
        <v>53</v>
      </c>
      <c r="K26">
        <f t="shared" si="0"/>
        <v>200</v>
      </c>
    </row>
    <row r="27" spans="1:11" x14ac:dyDescent="0.35">
      <c r="A27" s="18" t="s">
        <v>361</v>
      </c>
      <c r="B27" s="9" t="s">
        <v>51</v>
      </c>
      <c r="C27" s="9" t="s">
        <v>45</v>
      </c>
      <c r="D27" s="20">
        <v>6941764450868</v>
      </c>
      <c r="E27" s="9">
        <v>14999</v>
      </c>
      <c r="F27" s="9">
        <v>15999</v>
      </c>
      <c r="G27" s="9">
        <v>1000</v>
      </c>
      <c r="H27" s="9" t="s">
        <v>75</v>
      </c>
      <c r="I27" s="9" t="s">
        <v>53</v>
      </c>
      <c r="J27" s="9" t="s">
        <v>53</v>
      </c>
      <c r="K27">
        <f t="shared" si="0"/>
        <v>200</v>
      </c>
    </row>
    <row r="28" spans="1:11" x14ac:dyDescent="0.35">
      <c r="A28" s="18" t="s">
        <v>362</v>
      </c>
      <c r="B28" s="9" t="s">
        <v>51</v>
      </c>
      <c r="C28" s="9" t="s">
        <v>45</v>
      </c>
      <c r="D28" s="20">
        <v>6941764450899</v>
      </c>
      <c r="E28" s="9">
        <v>14999</v>
      </c>
      <c r="F28" s="9">
        <v>15999</v>
      </c>
      <c r="G28" s="9">
        <v>1000</v>
      </c>
      <c r="H28" s="9" t="s">
        <v>75</v>
      </c>
      <c r="I28" s="9" t="s">
        <v>53</v>
      </c>
      <c r="J28" s="9" t="s">
        <v>53</v>
      </c>
      <c r="K28">
        <f t="shared" si="0"/>
        <v>200</v>
      </c>
    </row>
    <row r="29" spans="1:11" x14ac:dyDescent="0.35">
      <c r="A29" s="18" t="s">
        <v>353</v>
      </c>
      <c r="B29" s="9" t="s">
        <v>54</v>
      </c>
      <c r="C29" s="9" t="s">
        <v>49</v>
      </c>
      <c r="D29" s="20">
        <v>6941764447691</v>
      </c>
      <c r="E29" s="9">
        <v>56999</v>
      </c>
      <c r="F29" s="9">
        <v>59999</v>
      </c>
      <c r="G29" s="9">
        <v>3000</v>
      </c>
      <c r="H29" s="9" t="s">
        <v>114</v>
      </c>
      <c r="I29" s="9">
        <v>3000</v>
      </c>
      <c r="J29" s="9" t="s">
        <v>46</v>
      </c>
      <c r="K29">
        <f t="shared" si="0"/>
        <v>600</v>
      </c>
    </row>
    <row r="30" spans="1:11" x14ac:dyDescent="0.35">
      <c r="A30" s="18" t="s">
        <v>354</v>
      </c>
      <c r="B30" s="9" t="s">
        <v>54</v>
      </c>
      <c r="C30" s="9" t="s">
        <v>49</v>
      </c>
      <c r="D30" s="20">
        <v>6941764447684</v>
      </c>
      <c r="E30" s="9">
        <v>56999</v>
      </c>
      <c r="F30" s="9">
        <v>59999</v>
      </c>
      <c r="G30" s="9">
        <v>3000</v>
      </c>
      <c r="H30" s="9" t="s">
        <v>114</v>
      </c>
      <c r="I30" s="9">
        <v>3000</v>
      </c>
      <c r="J30" s="9" t="s">
        <v>46</v>
      </c>
      <c r="K30">
        <f t="shared" si="0"/>
        <v>600</v>
      </c>
    </row>
    <row r="31" spans="1:11" x14ac:dyDescent="0.35">
      <c r="A31" s="18" t="s">
        <v>355</v>
      </c>
      <c r="B31" s="9" t="s">
        <v>54</v>
      </c>
      <c r="C31" s="9" t="s">
        <v>55</v>
      </c>
      <c r="D31" s="20">
        <v>6941764447783</v>
      </c>
      <c r="E31" s="9">
        <v>62999</v>
      </c>
      <c r="F31" s="9">
        <v>65999</v>
      </c>
      <c r="G31" s="9">
        <v>3000</v>
      </c>
      <c r="H31" s="9" t="s">
        <v>114</v>
      </c>
      <c r="I31" s="9">
        <v>3000</v>
      </c>
      <c r="J31" s="9" t="s">
        <v>46</v>
      </c>
      <c r="K31">
        <f t="shared" si="0"/>
        <v>600</v>
      </c>
    </row>
    <row r="32" spans="1:11" x14ac:dyDescent="0.35">
      <c r="A32" s="18" t="s">
        <v>356</v>
      </c>
      <c r="B32" s="9" t="s">
        <v>54</v>
      </c>
      <c r="C32" s="9" t="s">
        <v>55</v>
      </c>
      <c r="D32" s="20">
        <v>6941764447790</v>
      </c>
      <c r="E32" s="9">
        <v>62999</v>
      </c>
      <c r="F32" s="9">
        <v>65999</v>
      </c>
      <c r="G32" s="9">
        <v>3000</v>
      </c>
      <c r="H32" s="9" t="s">
        <v>114</v>
      </c>
      <c r="I32" s="9">
        <v>3000</v>
      </c>
      <c r="J32" s="9" t="s">
        <v>46</v>
      </c>
      <c r="K32">
        <f t="shared" si="0"/>
        <v>600</v>
      </c>
    </row>
    <row r="33" spans="1:10" x14ac:dyDescent="0.35">
      <c r="A33" s="18"/>
      <c r="B33" s="9"/>
      <c r="C33" s="9"/>
      <c r="D33" s="9"/>
      <c r="E33" s="9"/>
      <c r="F33" s="9"/>
      <c r="G33" s="9"/>
      <c r="H33" s="9"/>
      <c r="I33" s="9"/>
      <c r="J33" s="9"/>
    </row>
    <row r="34" spans="1:10" x14ac:dyDescent="0.35">
      <c r="A34" s="18"/>
      <c r="B34" s="9"/>
      <c r="C34" s="9"/>
      <c r="D34" s="9"/>
      <c r="E34" s="9"/>
      <c r="F34" s="9"/>
      <c r="G34" s="9"/>
      <c r="H34" s="9"/>
      <c r="I34" s="9"/>
      <c r="J34" s="9"/>
    </row>
    <row r="35" spans="1:10" ht="15" thickBot="1" x14ac:dyDescent="0.4">
      <c r="A35" s="18"/>
      <c r="B35" s="9"/>
      <c r="C35" s="9"/>
      <c r="D35" s="9"/>
      <c r="E35" s="9"/>
      <c r="F35" s="9"/>
      <c r="G35" s="9"/>
      <c r="H35" s="9"/>
      <c r="I35" s="9"/>
      <c r="J35" s="9"/>
    </row>
    <row r="36" spans="1:10" ht="15" thickBot="1" x14ac:dyDescent="0.4">
      <c r="A36" s="19"/>
      <c r="B36" s="97" t="s">
        <v>41</v>
      </c>
      <c r="C36" s="98"/>
      <c r="D36" s="21" t="s">
        <v>43</v>
      </c>
      <c r="E36" s="21"/>
      <c r="F36" s="9"/>
      <c r="G36" s="9"/>
      <c r="H36" s="9"/>
      <c r="I36" s="9"/>
      <c r="J36" s="9"/>
    </row>
    <row r="37" spans="1:10" ht="15" thickBot="1" x14ac:dyDescent="0.4">
      <c r="A37" s="22" t="s">
        <v>56</v>
      </c>
      <c r="B37" s="23" t="s">
        <v>57</v>
      </c>
      <c r="C37" s="23" t="s">
        <v>418</v>
      </c>
      <c r="D37" s="23" t="s">
        <v>57</v>
      </c>
      <c r="E37" s="23" t="s">
        <v>418</v>
      </c>
      <c r="F37" s="9"/>
      <c r="G37" s="9"/>
      <c r="H37" s="9"/>
      <c r="I37" s="9"/>
      <c r="J37" s="9"/>
    </row>
    <row r="38" spans="1:10" ht="15" thickBot="1" x14ac:dyDescent="0.4">
      <c r="A38" s="24" t="s">
        <v>58</v>
      </c>
      <c r="B38" s="25">
        <v>0</v>
      </c>
      <c r="C38" s="25">
        <v>1</v>
      </c>
      <c r="D38" s="25">
        <v>0</v>
      </c>
      <c r="E38" s="25">
        <v>1</v>
      </c>
      <c r="F38" s="9"/>
      <c r="G38" s="9"/>
      <c r="H38" s="9"/>
      <c r="I38" s="9"/>
      <c r="J38" s="9"/>
    </row>
    <row r="39" spans="1:10" ht="15" thickBot="1" x14ac:dyDescent="0.4">
      <c r="A39" s="24" t="s">
        <v>59</v>
      </c>
      <c r="B39" s="25">
        <v>0.55000000000000004</v>
      </c>
      <c r="C39" s="25">
        <v>0.45</v>
      </c>
      <c r="D39" s="23" t="s">
        <v>60</v>
      </c>
      <c r="E39" s="23" t="s">
        <v>60</v>
      </c>
      <c r="F39" s="9"/>
      <c r="G39" s="9"/>
      <c r="H39" s="9"/>
      <c r="I39" s="9"/>
      <c r="J39" s="9"/>
    </row>
    <row r="40" spans="1:10" ht="15" thickBot="1" x14ac:dyDescent="0.4">
      <c r="A40" s="24" t="s">
        <v>61</v>
      </c>
      <c r="B40" s="25">
        <v>0.5</v>
      </c>
      <c r="C40" s="25">
        <v>0.5</v>
      </c>
      <c r="D40" s="23" t="s">
        <v>60</v>
      </c>
      <c r="E40" s="23" t="s">
        <v>60</v>
      </c>
      <c r="F40" s="9"/>
      <c r="G40" s="9"/>
      <c r="H40" s="9"/>
      <c r="I40" s="9"/>
      <c r="J40" s="9"/>
    </row>
    <row r="41" spans="1:10" ht="15" thickBot="1" x14ac:dyDescent="0.4">
      <c r="A41" s="24"/>
      <c r="B41" s="25">
        <v>0.6</v>
      </c>
      <c r="C41" s="25">
        <v>0.4</v>
      </c>
      <c r="D41" s="23" t="s">
        <v>60</v>
      </c>
      <c r="E41" s="23" t="s">
        <v>60</v>
      </c>
      <c r="F41" s="9"/>
      <c r="G41" s="9"/>
      <c r="H41" s="9"/>
      <c r="I41" s="9"/>
      <c r="J41" s="9"/>
    </row>
    <row r="42" spans="1:10" ht="15" thickBot="1" x14ac:dyDescent="0.4">
      <c r="A42" s="24" t="s">
        <v>62</v>
      </c>
      <c r="B42" s="25">
        <v>0.7</v>
      </c>
      <c r="C42" s="25">
        <v>0.3</v>
      </c>
      <c r="D42" s="25">
        <v>0</v>
      </c>
      <c r="E42" s="25">
        <v>1</v>
      </c>
    </row>
    <row r="43" spans="1:10" ht="15" thickBot="1" x14ac:dyDescent="0.4">
      <c r="A43" s="24" t="s">
        <v>63</v>
      </c>
      <c r="B43" s="25">
        <v>0.8</v>
      </c>
      <c r="C43" s="25">
        <v>0.2</v>
      </c>
      <c r="D43" s="23" t="s">
        <v>60</v>
      </c>
      <c r="E43" s="23" t="s">
        <v>60</v>
      </c>
    </row>
    <row r="44" spans="1:10" ht="15" thickBot="1" x14ac:dyDescent="0.4">
      <c r="A44" s="24" t="s">
        <v>64</v>
      </c>
      <c r="B44" s="25">
        <v>0.35</v>
      </c>
      <c r="C44" s="25">
        <v>0.65</v>
      </c>
      <c r="D44" s="25">
        <v>0</v>
      </c>
      <c r="E44" s="25">
        <v>1</v>
      </c>
    </row>
    <row r="45" spans="1:10" ht="15" thickBot="1" x14ac:dyDescent="0.4">
      <c r="A45" s="24" t="s">
        <v>65</v>
      </c>
      <c r="B45" s="25">
        <v>0.7</v>
      </c>
      <c r="C45" s="25">
        <v>0.3</v>
      </c>
      <c r="D45" s="23" t="s">
        <v>60</v>
      </c>
      <c r="E45" s="23" t="s">
        <v>60</v>
      </c>
    </row>
    <row r="46" spans="1:10" ht="15" thickBot="1" x14ac:dyDescent="0.4">
      <c r="A46" s="24" t="s">
        <v>66</v>
      </c>
      <c r="B46" s="25">
        <v>0.4</v>
      </c>
      <c r="C46" s="25">
        <v>0.6</v>
      </c>
      <c r="D46" s="25">
        <v>0</v>
      </c>
      <c r="E46" s="25">
        <v>1</v>
      </c>
    </row>
    <row r="47" spans="1:10" ht="15" thickBot="1" x14ac:dyDescent="0.4">
      <c r="A47" s="24" t="s">
        <v>67</v>
      </c>
      <c r="B47" s="25">
        <v>0.5</v>
      </c>
      <c r="C47" s="25">
        <v>0.5</v>
      </c>
      <c r="D47" s="23" t="s">
        <v>60</v>
      </c>
      <c r="E47" s="23" t="s">
        <v>60</v>
      </c>
    </row>
    <row r="48" spans="1:10" ht="15" thickBot="1" x14ac:dyDescent="0.4">
      <c r="A48" s="24" t="s">
        <v>68</v>
      </c>
      <c r="B48" s="25">
        <v>0.3</v>
      </c>
      <c r="C48" s="25">
        <v>0.7</v>
      </c>
      <c r="D48" s="25">
        <v>0</v>
      </c>
      <c r="E48" s="25">
        <v>1</v>
      </c>
    </row>
    <row r="49" spans="1:5" ht="15" thickBot="1" x14ac:dyDescent="0.4">
      <c r="A49" s="24" t="s">
        <v>69</v>
      </c>
      <c r="B49" s="25">
        <v>0</v>
      </c>
      <c r="C49" s="25">
        <v>1</v>
      </c>
      <c r="D49" s="25">
        <v>0</v>
      </c>
      <c r="E49" s="25">
        <v>1</v>
      </c>
    </row>
    <row r="50" spans="1:5" ht="15" thickBot="1" x14ac:dyDescent="0.4">
      <c r="A50" s="24" t="s">
        <v>70</v>
      </c>
      <c r="B50" s="25">
        <v>0.9</v>
      </c>
      <c r="C50" s="25">
        <v>0.1</v>
      </c>
      <c r="D50" s="23" t="s">
        <v>60</v>
      </c>
      <c r="E50" s="23" t="s">
        <v>60</v>
      </c>
    </row>
    <row r="51" spans="1:5" ht="15" thickBot="1" x14ac:dyDescent="0.4">
      <c r="A51" s="24" t="s">
        <v>71</v>
      </c>
      <c r="B51" s="25">
        <v>0.5</v>
      </c>
      <c r="C51" s="25">
        <v>0.5</v>
      </c>
      <c r="D51" s="23" t="s">
        <v>60</v>
      </c>
      <c r="E51" s="23" t="s">
        <v>60</v>
      </c>
    </row>
    <row r="52" spans="1:5" ht="15" thickBot="1" x14ac:dyDescent="0.4">
      <c r="A52" s="24" t="s">
        <v>72</v>
      </c>
      <c r="B52" s="25">
        <v>0.2</v>
      </c>
      <c r="C52" s="25">
        <v>0.8</v>
      </c>
      <c r="D52" s="23" t="s">
        <v>60</v>
      </c>
      <c r="E52" s="23" t="s">
        <v>60</v>
      </c>
    </row>
    <row r="53" spans="1:5" ht="15" thickBot="1" x14ac:dyDescent="0.4">
      <c r="A53" s="24" t="s">
        <v>73</v>
      </c>
      <c r="B53" s="25">
        <v>0</v>
      </c>
      <c r="C53" s="25">
        <v>1</v>
      </c>
      <c r="D53" s="25">
        <v>0</v>
      </c>
      <c r="E53" s="25">
        <v>1</v>
      </c>
    </row>
    <row r="54" spans="1:5" ht="15" thickBot="1" x14ac:dyDescent="0.4">
      <c r="A54" s="24" t="s">
        <v>74</v>
      </c>
      <c r="B54" s="25">
        <v>0.9</v>
      </c>
      <c r="C54" s="25">
        <v>0.1</v>
      </c>
      <c r="D54" s="23" t="s">
        <v>60</v>
      </c>
      <c r="E54" s="23" t="s">
        <v>60</v>
      </c>
    </row>
    <row r="56" spans="1:5" ht="15.5" x14ac:dyDescent="0.35">
      <c r="A56" s="12"/>
    </row>
  </sheetData>
  <mergeCells count="1">
    <mergeCell ref="B36:C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D5F31-F2C7-4BFD-8E7B-BD652B3A2825}">
  <dimension ref="A1:J17"/>
  <sheetViews>
    <sheetView topLeftCell="A3" workbookViewId="0">
      <selection activeCell="D12" sqref="D12:E12"/>
    </sheetView>
  </sheetViews>
  <sheetFormatPr defaultRowHeight="14.5" x14ac:dyDescent="0.35"/>
  <cols>
    <col min="1" max="1" width="58.81640625" bestFit="1" customWidth="1"/>
    <col min="2" max="2" width="20.26953125" bestFit="1" customWidth="1"/>
    <col min="3" max="3" width="11.90625" bestFit="1" customWidth="1"/>
    <col min="6" max="8" width="7.08984375" bestFit="1" customWidth="1"/>
    <col min="9" max="9" width="6.90625" bestFit="1" customWidth="1"/>
    <col min="10" max="10" width="25.54296875" bestFit="1" customWidth="1"/>
  </cols>
  <sheetData>
    <row r="1" spans="1:10" ht="15.5" x14ac:dyDescent="0.35">
      <c r="A1" s="32" t="s">
        <v>76</v>
      </c>
    </row>
    <row r="2" spans="1:10" ht="16" thickBot="1" x14ac:dyDescent="0.4">
      <c r="A2" s="32"/>
    </row>
    <row r="3" spans="1:10" ht="16" thickBot="1" x14ac:dyDescent="0.4">
      <c r="A3" s="26" t="s">
        <v>1</v>
      </c>
      <c r="B3" s="27" t="s">
        <v>2</v>
      </c>
      <c r="C3" s="27" t="s">
        <v>40</v>
      </c>
      <c r="D3" s="105" t="s">
        <v>3</v>
      </c>
      <c r="E3" s="106"/>
      <c r="F3" s="27" t="s">
        <v>4</v>
      </c>
      <c r="G3" s="27" t="s">
        <v>77</v>
      </c>
      <c r="H3" s="27" t="s">
        <v>78</v>
      </c>
      <c r="I3" s="27" t="s">
        <v>79</v>
      </c>
      <c r="J3" s="27" t="s">
        <v>80</v>
      </c>
    </row>
    <row r="4" spans="1:10" ht="16" thickBot="1" x14ac:dyDescent="0.4">
      <c r="A4" s="28" t="s">
        <v>81</v>
      </c>
      <c r="B4" s="41">
        <v>6941764428157</v>
      </c>
      <c r="C4" s="29">
        <v>16499</v>
      </c>
      <c r="D4" s="103">
        <v>17999</v>
      </c>
      <c r="E4" s="104"/>
      <c r="F4" s="29" t="s">
        <v>82</v>
      </c>
      <c r="G4" s="29" t="s">
        <v>82</v>
      </c>
      <c r="H4" s="29" t="s">
        <v>82</v>
      </c>
      <c r="I4" s="29" t="s">
        <v>83</v>
      </c>
      <c r="J4" s="30" t="s">
        <v>84</v>
      </c>
    </row>
    <row r="5" spans="1:10" ht="16" thickBot="1" x14ac:dyDescent="0.4">
      <c r="A5" s="28" t="s">
        <v>85</v>
      </c>
      <c r="B5" s="41">
        <v>6941764428140</v>
      </c>
      <c r="C5" s="29">
        <v>16499</v>
      </c>
      <c r="D5" s="103">
        <v>17999</v>
      </c>
      <c r="E5" s="104"/>
      <c r="F5" s="29" t="s">
        <v>82</v>
      </c>
      <c r="G5" s="29" t="s">
        <v>82</v>
      </c>
      <c r="H5" s="29" t="s">
        <v>82</v>
      </c>
      <c r="I5" s="29" t="s">
        <v>83</v>
      </c>
      <c r="J5" s="30" t="s">
        <v>84</v>
      </c>
    </row>
    <row r="6" spans="1:10" ht="16" thickBot="1" x14ac:dyDescent="0.4">
      <c r="A6" s="28" t="s">
        <v>86</v>
      </c>
      <c r="B6" s="41">
        <v>6941764418288</v>
      </c>
      <c r="C6" s="29">
        <v>18499</v>
      </c>
      <c r="D6" s="103">
        <v>19999</v>
      </c>
      <c r="E6" s="104"/>
      <c r="F6" s="29" t="s">
        <v>82</v>
      </c>
      <c r="G6" s="29" t="s">
        <v>82</v>
      </c>
      <c r="H6" s="29" t="s">
        <v>82</v>
      </c>
      <c r="I6" s="29" t="s">
        <v>83</v>
      </c>
      <c r="J6" s="30" t="s">
        <v>84</v>
      </c>
    </row>
    <row r="7" spans="1:10" ht="16" thickBot="1" x14ac:dyDescent="0.4">
      <c r="A7" s="28" t="s">
        <v>87</v>
      </c>
      <c r="B7" s="41">
        <v>6941764418295</v>
      </c>
      <c r="C7" s="29">
        <v>18499</v>
      </c>
      <c r="D7" s="103">
        <v>19999</v>
      </c>
      <c r="E7" s="104"/>
      <c r="F7" s="29" t="s">
        <v>82</v>
      </c>
      <c r="G7" s="29" t="s">
        <v>82</v>
      </c>
      <c r="H7" s="29" t="s">
        <v>82</v>
      </c>
      <c r="I7" s="29" t="s">
        <v>83</v>
      </c>
      <c r="J7" s="30" t="s">
        <v>84</v>
      </c>
    </row>
    <row r="8" spans="1:10" ht="16" thickBot="1" x14ac:dyDescent="0.4">
      <c r="A8" s="28" t="s">
        <v>88</v>
      </c>
      <c r="B8" s="41">
        <v>6941764418257</v>
      </c>
      <c r="C8" s="29">
        <v>21499</v>
      </c>
      <c r="D8" s="103">
        <v>22999</v>
      </c>
      <c r="E8" s="104"/>
      <c r="F8" s="29" t="s">
        <v>82</v>
      </c>
      <c r="G8" s="29" t="s">
        <v>82</v>
      </c>
      <c r="H8" s="29" t="s">
        <v>82</v>
      </c>
      <c r="I8" s="29" t="s">
        <v>83</v>
      </c>
      <c r="J8" s="30" t="s">
        <v>84</v>
      </c>
    </row>
    <row r="9" spans="1:10" ht="16" thickBot="1" x14ac:dyDescent="0.4">
      <c r="A9" s="28" t="s">
        <v>89</v>
      </c>
      <c r="B9" s="41">
        <v>6941764418271</v>
      </c>
      <c r="C9" s="29">
        <v>21499</v>
      </c>
      <c r="D9" s="103">
        <v>22999</v>
      </c>
      <c r="E9" s="104"/>
      <c r="F9" s="29" t="s">
        <v>82</v>
      </c>
      <c r="G9" s="29" t="s">
        <v>82</v>
      </c>
      <c r="H9" s="29" t="s">
        <v>82</v>
      </c>
      <c r="I9" s="29" t="s">
        <v>83</v>
      </c>
      <c r="J9" s="30" t="s">
        <v>84</v>
      </c>
    </row>
    <row r="10" spans="1:10" ht="16" thickBot="1" x14ac:dyDescent="0.4">
      <c r="A10" s="28" t="s">
        <v>90</v>
      </c>
      <c r="B10" s="41">
        <v>6941764443525</v>
      </c>
      <c r="C10" s="29">
        <v>13499</v>
      </c>
      <c r="D10" s="103">
        <v>14999</v>
      </c>
      <c r="E10" s="104"/>
      <c r="F10" s="29" t="s">
        <v>82</v>
      </c>
      <c r="G10" s="29" t="s">
        <v>82</v>
      </c>
      <c r="H10" s="29" t="s">
        <v>82</v>
      </c>
      <c r="I10" s="29" t="s">
        <v>83</v>
      </c>
      <c r="J10" s="30" t="s">
        <v>84</v>
      </c>
    </row>
    <row r="11" spans="1:10" ht="16" thickBot="1" x14ac:dyDescent="0.4">
      <c r="A11" s="28" t="s">
        <v>91</v>
      </c>
      <c r="B11" s="41">
        <v>6941764443563</v>
      </c>
      <c r="C11" s="29">
        <v>13499</v>
      </c>
      <c r="D11" s="103">
        <v>14999</v>
      </c>
      <c r="E11" s="104"/>
      <c r="F11" s="29" t="s">
        <v>82</v>
      </c>
      <c r="G11" s="29" t="s">
        <v>82</v>
      </c>
      <c r="H11" s="29" t="s">
        <v>82</v>
      </c>
      <c r="I11" s="29" t="s">
        <v>83</v>
      </c>
      <c r="J11" s="30" t="s">
        <v>84</v>
      </c>
    </row>
    <row r="12" spans="1:10" ht="16" thickBot="1" x14ac:dyDescent="0.4">
      <c r="A12" s="28" t="s">
        <v>92</v>
      </c>
      <c r="B12" s="41">
        <v>6941764443549</v>
      </c>
      <c r="C12" s="29">
        <v>15499</v>
      </c>
      <c r="D12" s="103">
        <v>16999</v>
      </c>
      <c r="E12" s="104"/>
      <c r="F12" s="29" t="s">
        <v>82</v>
      </c>
      <c r="G12" s="29" t="s">
        <v>82</v>
      </c>
      <c r="H12" s="29" t="s">
        <v>82</v>
      </c>
      <c r="I12" s="29" t="s">
        <v>83</v>
      </c>
      <c r="J12" s="30" t="s">
        <v>84</v>
      </c>
    </row>
    <row r="13" spans="1:10" ht="16" thickBot="1" x14ac:dyDescent="0.4">
      <c r="A13" s="28" t="s">
        <v>93</v>
      </c>
      <c r="B13" s="41">
        <v>6941764443587</v>
      </c>
      <c r="C13" s="29">
        <v>15499</v>
      </c>
      <c r="D13" s="103">
        <v>16999</v>
      </c>
      <c r="E13" s="104"/>
      <c r="F13" s="29" t="s">
        <v>82</v>
      </c>
      <c r="G13" s="29" t="s">
        <v>82</v>
      </c>
      <c r="H13" s="29" t="s">
        <v>82</v>
      </c>
      <c r="I13" s="29" t="s">
        <v>83</v>
      </c>
      <c r="J13" s="30" t="s">
        <v>84</v>
      </c>
    </row>
    <row r="14" spans="1:10" ht="15.5" x14ac:dyDescent="0.35">
      <c r="A14" s="102"/>
      <c r="B14" s="102"/>
      <c r="C14" s="102"/>
      <c r="D14" s="102"/>
      <c r="E14" s="99"/>
      <c r="F14" s="99"/>
      <c r="G14" s="99"/>
      <c r="H14" s="99"/>
      <c r="I14" s="99"/>
      <c r="J14" s="99"/>
    </row>
    <row r="15" spans="1:10" ht="15.5" x14ac:dyDescent="0.35">
      <c r="A15" s="101" t="s">
        <v>94</v>
      </c>
      <c r="B15" s="101"/>
      <c r="C15" s="101"/>
      <c r="D15" s="101"/>
      <c r="E15" s="100"/>
      <c r="F15" s="100"/>
      <c r="G15" s="100"/>
      <c r="H15" s="100"/>
      <c r="I15" s="100"/>
      <c r="J15" s="100"/>
    </row>
    <row r="16" spans="1:10" ht="15.5" x14ac:dyDescent="0.35">
      <c r="A16" s="101" t="s">
        <v>419</v>
      </c>
      <c r="B16" s="101"/>
      <c r="C16" s="101"/>
      <c r="D16" s="101"/>
      <c r="E16" s="31"/>
      <c r="F16" s="31"/>
      <c r="G16" s="31"/>
      <c r="H16" s="31"/>
      <c r="I16" s="31"/>
      <c r="J16" s="31"/>
    </row>
    <row r="17" spans="1:10" ht="15.5" x14ac:dyDescent="0.35">
      <c r="A17" s="31"/>
      <c r="B17" s="31"/>
      <c r="C17" s="31"/>
      <c r="D17" s="31"/>
      <c r="E17" s="31"/>
      <c r="F17" s="31"/>
      <c r="G17" s="31"/>
      <c r="H17" s="31"/>
      <c r="I17" s="31"/>
      <c r="J17" s="31"/>
    </row>
  </sheetData>
  <mergeCells count="20">
    <mergeCell ref="D8:E8"/>
    <mergeCell ref="D3:E3"/>
    <mergeCell ref="D4:E4"/>
    <mergeCell ref="D5:E5"/>
    <mergeCell ref="D6:E6"/>
    <mergeCell ref="D7:E7"/>
    <mergeCell ref="D9:E9"/>
    <mergeCell ref="D10:E10"/>
    <mergeCell ref="D11:E11"/>
    <mergeCell ref="D12:E12"/>
    <mergeCell ref="D13:E13"/>
    <mergeCell ref="J14:J15"/>
    <mergeCell ref="A16:D16"/>
    <mergeCell ref="A15:D15"/>
    <mergeCell ref="E14:E15"/>
    <mergeCell ref="F14:F15"/>
    <mergeCell ref="G14:G15"/>
    <mergeCell ref="H14:H15"/>
    <mergeCell ref="I14:I15"/>
    <mergeCell ref="A14:D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93F92-1681-42D5-9CCD-099559D3C9D9}">
  <dimension ref="A1:K13"/>
  <sheetViews>
    <sheetView workbookViewId="0">
      <selection activeCell="E3" sqref="A3:XFD12"/>
    </sheetView>
  </sheetViews>
  <sheetFormatPr defaultRowHeight="14.5" x14ac:dyDescent="0.35"/>
  <cols>
    <col min="1" max="1" width="32.26953125" bestFit="1" customWidth="1"/>
    <col min="2" max="2" width="18.6328125" bestFit="1" customWidth="1"/>
    <col min="3" max="3" width="11" bestFit="1" customWidth="1"/>
    <col min="4" max="4" width="6.36328125" bestFit="1" customWidth="1"/>
    <col min="5" max="5" width="25.08984375" bestFit="1" customWidth="1"/>
    <col min="6" max="6" width="25.36328125" bestFit="1" customWidth="1"/>
    <col min="7" max="7" width="10.7265625" bestFit="1" customWidth="1"/>
    <col min="8" max="8" width="10.26953125" bestFit="1" customWidth="1"/>
    <col min="9" max="9" width="8.1796875" bestFit="1" customWidth="1"/>
    <col min="10" max="10" width="9.453125" bestFit="1" customWidth="1"/>
  </cols>
  <sheetData>
    <row r="1" spans="1:11" ht="16" thickBot="1" x14ac:dyDescent="0.4">
      <c r="A1" s="32"/>
    </row>
    <row r="2" spans="1:11" ht="16" thickBot="1" x14ac:dyDescent="0.4">
      <c r="A2" s="33" t="s">
        <v>1</v>
      </c>
      <c r="B2" s="34" t="s">
        <v>2</v>
      </c>
      <c r="C2" s="34" t="s">
        <v>40</v>
      </c>
      <c r="D2" s="34" t="s">
        <v>3</v>
      </c>
      <c r="E2" s="34" t="s">
        <v>95</v>
      </c>
      <c r="F2" s="35" t="s">
        <v>96</v>
      </c>
      <c r="G2" s="34" t="s">
        <v>97</v>
      </c>
      <c r="H2" s="34" t="s">
        <v>98</v>
      </c>
      <c r="I2" s="34" t="s">
        <v>99</v>
      </c>
      <c r="J2" s="34" t="s">
        <v>100</v>
      </c>
      <c r="K2" s="34" t="s">
        <v>101</v>
      </c>
    </row>
    <row r="3" spans="1:11" ht="16" thickBot="1" x14ac:dyDescent="0.4">
      <c r="A3" s="28" t="s">
        <v>81</v>
      </c>
      <c r="B3" s="41">
        <v>6941764428157</v>
      </c>
      <c r="C3" s="36">
        <v>16499</v>
      </c>
      <c r="D3" s="36">
        <v>17999</v>
      </c>
      <c r="E3" s="37" t="s">
        <v>102</v>
      </c>
      <c r="F3" s="38">
        <v>1500</v>
      </c>
      <c r="G3" s="39" t="s">
        <v>11</v>
      </c>
      <c r="H3" s="39" t="s">
        <v>11</v>
      </c>
      <c r="I3" s="39" t="s">
        <v>11</v>
      </c>
      <c r="J3" s="39" t="s">
        <v>11</v>
      </c>
      <c r="K3" s="39" t="s">
        <v>11</v>
      </c>
    </row>
    <row r="4" spans="1:11" ht="16" thickBot="1" x14ac:dyDescent="0.4">
      <c r="A4" s="28" t="s">
        <v>85</v>
      </c>
      <c r="B4" s="41">
        <v>6941764428140</v>
      </c>
      <c r="C4" s="36">
        <v>16499</v>
      </c>
      <c r="D4" s="36">
        <v>17999</v>
      </c>
      <c r="E4" s="37" t="s">
        <v>102</v>
      </c>
      <c r="F4" s="38">
        <v>1500</v>
      </c>
      <c r="G4" s="39" t="s">
        <v>11</v>
      </c>
      <c r="H4" s="39" t="s">
        <v>11</v>
      </c>
      <c r="I4" s="39" t="s">
        <v>11</v>
      </c>
      <c r="J4" s="39" t="s">
        <v>11</v>
      </c>
      <c r="K4" s="39" t="s">
        <v>11</v>
      </c>
    </row>
    <row r="5" spans="1:11" ht="16" thickBot="1" x14ac:dyDescent="0.4">
      <c r="A5" s="28" t="s">
        <v>86</v>
      </c>
      <c r="B5" s="41">
        <v>6941764418288</v>
      </c>
      <c r="C5" s="36">
        <v>18499</v>
      </c>
      <c r="D5" s="36">
        <v>19999</v>
      </c>
      <c r="E5" s="37" t="s">
        <v>102</v>
      </c>
      <c r="F5" s="38">
        <v>1500</v>
      </c>
      <c r="G5" s="39" t="s">
        <v>11</v>
      </c>
      <c r="H5" s="39" t="s">
        <v>11</v>
      </c>
      <c r="I5" s="39" t="s">
        <v>11</v>
      </c>
      <c r="J5" s="39" t="s">
        <v>11</v>
      </c>
      <c r="K5" s="39" t="s">
        <v>11</v>
      </c>
    </row>
    <row r="6" spans="1:11" ht="16" thickBot="1" x14ac:dyDescent="0.4">
      <c r="A6" s="28" t="s">
        <v>87</v>
      </c>
      <c r="B6" s="41">
        <v>6941764418295</v>
      </c>
      <c r="C6" s="36">
        <v>18499</v>
      </c>
      <c r="D6" s="36">
        <v>19999</v>
      </c>
      <c r="E6" s="37" t="s">
        <v>102</v>
      </c>
      <c r="F6" s="38">
        <v>1500</v>
      </c>
      <c r="G6" s="39" t="s">
        <v>11</v>
      </c>
      <c r="H6" s="39" t="s">
        <v>11</v>
      </c>
      <c r="I6" s="39" t="s">
        <v>11</v>
      </c>
      <c r="J6" s="39" t="s">
        <v>11</v>
      </c>
      <c r="K6" s="39" t="s">
        <v>11</v>
      </c>
    </row>
    <row r="7" spans="1:11" ht="16" thickBot="1" x14ac:dyDescent="0.4">
      <c r="A7" s="28" t="s">
        <v>88</v>
      </c>
      <c r="B7" s="41">
        <v>6941764418257</v>
      </c>
      <c r="C7" s="36">
        <v>21499</v>
      </c>
      <c r="D7" s="36">
        <v>22999</v>
      </c>
      <c r="E7" s="37" t="s">
        <v>102</v>
      </c>
      <c r="F7" s="38">
        <v>1500</v>
      </c>
      <c r="G7" s="39" t="s">
        <v>11</v>
      </c>
      <c r="H7" s="39" t="s">
        <v>11</v>
      </c>
      <c r="I7" s="39" t="s">
        <v>11</v>
      </c>
      <c r="J7" s="39" t="s">
        <v>11</v>
      </c>
      <c r="K7" s="39" t="s">
        <v>11</v>
      </c>
    </row>
    <row r="8" spans="1:11" ht="16" thickBot="1" x14ac:dyDescent="0.4">
      <c r="A8" s="28" t="s">
        <v>89</v>
      </c>
      <c r="B8" s="41">
        <v>6941764418271</v>
      </c>
      <c r="C8" s="36">
        <v>21499</v>
      </c>
      <c r="D8" s="36">
        <v>22999</v>
      </c>
      <c r="E8" s="37" t="s">
        <v>102</v>
      </c>
      <c r="F8" s="38">
        <v>1500</v>
      </c>
      <c r="G8" s="39" t="s">
        <v>11</v>
      </c>
      <c r="H8" s="39" t="s">
        <v>11</v>
      </c>
      <c r="I8" s="39" t="s">
        <v>11</v>
      </c>
      <c r="J8" s="39" t="s">
        <v>11</v>
      </c>
      <c r="K8" s="39" t="s">
        <v>11</v>
      </c>
    </row>
    <row r="9" spans="1:11" ht="16" thickBot="1" x14ac:dyDescent="0.4">
      <c r="A9" s="40" t="s">
        <v>90</v>
      </c>
      <c r="B9" s="41">
        <v>6941764443525</v>
      </c>
      <c r="C9" s="36">
        <v>13499</v>
      </c>
      <c r="D9" s="36">
        <v>14999</v>
      </c>
      <c r="E9" s="37" t="s">
        <v>102</v>
      </c>
      <c r="F9" s="38">
        <v>1500</v>
      </c>
      <c r="G9" s="39" t="s">
        <v>11</v>
      </c>
      <c r="H9" s="39" t="s">
        <v>11</v>
      </c>
      <c r="I9" s="39" t="s">
        <v>11</v>
      </c>
      <c r="J9" s="39" t="s">
        <v>11</v>
      </c>
      <c r="K9" s="39" t="s">
        <v>11</v>
      </c>
    </row>
    <row r="10" spans="1:11" ht="16" thickBot="1" x14ac:dyDescent="0.4">
      <c r="A10" s="40" t="s">
        <v>91</v>
      </c>
      <c r="B10" s="41">
        <v>6941764443563</v>
      </c>
      <c r="C10" s="36">
        <v>13499</v>
      </c>
      <c r="D10" s="36">
        <v>14999</v>
      </c>
      <c r="E10" s="37" t="s">
        <v>102</v>
      </c>
      <c r="F10" s="38">
        <v>1500</v>
      </c>
      <c r="G10" s="39" t="s">
        <v>11</v>
      </c>
      <c r="H10" s="39" t="s">
        <v>11</v>
      </c>
      <c r="I10" s="39" t="s">
        <v>11</v>
      </c>
      <c r="J10" s="39" t="s">
        <v>11</v>
      </c>
      <c r="K10" s="39" t="s">
        <v>11</v>
      </c>
    </row>
    <row r="11" spans="1:11" ht="16" thickBot="1" x14ac:dyDescent="0.4">
      <c r="A11" s="40" t="s">
        <v>92</v>
      </c>
      <c r="B11" s="41">
        <v>6941764443549</v>
      </c>
      <c r="C11" s="36">
        <v>15499</v>
      </c>
      <c r="D11" s="36">
        <v>16999</v>
      </c>
      <c r="E11" s="37" t="s">
        <v>102</v>
      </c>
      <c r="F11" s="38">
        <v>1500</v>
      </c>
      <c r="G11" s="39" t="s">
        <v>11</v>
      </c>
      <c r="H11" s="39" t="s">
        <v>11</v>
      </c>
      <c r="I11" s="39" t="s">
        <v>11</v>
      </c>
      <c r="J11" s="39" t="s">
        <v>11</v>
      </c>
      <c r="K11" s="39" t="s">
        <v>11</v>
      </c>
    </row>
    <row r="12" spans="1:11" ht="16" thickBot="1" x14ac:dyDescent="0.4">
      <c r="A12" s="40" t="s">
        <v>93</v>
      </c>
      <c r="B12" s="41">
        <v>6941764443587</v>
      </c>
      <c r="C12" s="36">
        <v>15499</v>
      </c>
      <c r="D12" s="36">
        <v>16999</v>
      </c>
      <c r="E12" s="37" t="s">
        <v>102</v>
      </c>
      <c r="F12" s="38">
        <v>1500</v>
      </c>
      <c r="G12" s="39" t="s">
        <v>11</v>
      </c>
      <c r="H12" s="39" t="s">
        <v>11</v>
      </c>
      <c r="I12" s="39" t="s">
        <v>11</v>
      </c>
      <c r="J12" s="39" t="s">
        <v>11</v>
      </c>
      <c r="K12" s="39" t="s">
        <v>11</v>
      </c>
    </row>
    <row r="13" spans="1:11" ht="15.5" x14ac:dyDescent="0.35">
      <c r="A13" s="3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32094-77B3-4E16-A07E-9B3218A25D38}">
  <dimension ref="A1:L51"/>
  <sheetViews>
    <sheetView topLeftCell="A15" workbookViewId="0">
      <selection activeCell="L29" sqref="A29:L31"/>
    </sheetView>
  </sheetViews>
  <sheetFormatPr defaultRowHeight="14.5" x14ac:dyDescent="0.35"/>
  <cols>
    <col min="1" max="1" width="14.54296875" bestFit="1" customWidth="1"/>
    <col min="2" max="2" width="8.453125" bestFit="1" customWidth="1"/>
    <col min="3" max="3" width="9.81640625" bestFit="1" customWidth="1"/>
    <col min="4" max="4" width="15" bestFit="1" customWidth="1"/>
    <col min="5" max="6" width="15" customWidth="1"/>
    <col min="7" max="7" width="9.81640625" bestFit="1" customWidth="1"/>
    <col min="8" max="8" width="5.36328125" bestFit="1" customWidth="1"/>
    <col min="9" max="9" width="5.90625" bestFit="1" customWidth="1"/>
    <col min="10" max="10" width="40.6328125" bestFit="1" customWidth="1"/>
    <col min="11" max="11" width="8" bestFit="1" customWidth="1"/>
    <col min="12" max="12" width="27.453125" bestFit="1" customWidth="1"/>
  </cols>
  <sheetData>
    <row r="1" spans="1:12" ht="15" thickBot="1" x14ac:dyDescent="0.4">
      <c r="A1" s="15" t="s">
        <v>103</v>
      </c>
      <c r="B1" s="16" t="s">
        <v>38</v>
      </c>
      <c r="C1" s="16" t="s">
        <v>104</v>
      </c>
      <c r="D1" s="16" t="s">
        <v>2</v>
      </c>
      <c r="E1" s="16" t="s">
        <v>124</v>
      </c>
      <c r="F1" s="16" t="s">
        <v>125</v>
      </c>
      <c r="G1" s="16" t="s">
        <v>40</v>
      </c>
      <c r="H1" s="16" t="s">
        <v>3</v>
      </c>
      <c r="I1" s="16" t="s">
        <v>41</v>
      </c>
      <c r="J1" s="16" t="s">
        <v>42</v>
      </c>
      <c r="K1" s="16" t="s">
        <v>43</v>
      </c>
      <c r="L1" s="16" t="s">
        <v>42</v>
      </c>
    </row>
    <row r="2" spans="1:12" ht="15" thickBot="1" x14ac:dyDescent="0.4">
      <c r="A2" s="42" t="s">
        <v>105</v>
      </c>
      <c r="B2" s="6" t="s">
        <v>106</v>
      </c>
      <c r="C2" s="6" t="s">
        <v>52</v>
      </c>
      <c r="D2" s="14">
        <v>6941764447462</v>
      </c>
      <c r="E2" s="14" t="s">
        <v>11</v>
      </c>
      <c r="F2" s="14" t="s">
        <v>12</v>
      </c>
      <c r="G2" s="6">
        <v>13999</v>
      </c>
      <c r="H2" s="4">
        <v>14999</v>
      </c>
      <c r="I2" s="4">
        <v>1000</v>
      </c>
      <c r="J2" s="4" t="s">
        <v>113</v>
      </c>
      <c r="K2" s="4" t="s">
        <v>53</v>
      </c>
      <c r="L2" s="4" t="s">
        <v>53</v>
      </c>
    </row>
    <row r="3" spans="1:12" ht="15" thickBot="1" x14ac:dyDescent="0.4">
      <c r="A3" s="42" t="s">
        <v>105</v>
      </c>
      <c r="B3" s="6" t="s">
        <v>106</v>
      </c>
      <c r="C3" s="6" t="s">
        <v>52</v>
      </c>
      <c r="D3" s="14">
        <v>6941764429642</v>
      </c>
      <c r="E3" s="14" t="s">
        <v>11</v>
      </c>
      <c r="F3" s="14" t="s">
        <v>12</v>
      </c>
      <c r="G3" s="6">
        <v>13999</v>
      </c>
      <c r="H3" s="4">
        <v>14999</v>
      </c>
      <c r="I3" s="4">
        <v>1000</v>
      </c>
      <c r="J3" s="4" t="s">
        <v>113</v>
      </c>
      <c r="K3" s="4" t="s">
        <v>53</v>
      </c>
      <c r="L3" s="4" t="s">
        <v>53</v>
      </c>
    </row>
    <row r="4" spans="1:12" ht="15" thickBot="1" x14ac:dyDescent="0.4">
      <c r="A4" s="42" t="s">
        <v>105</v>
      </c>
      <c r="B4" s="6" t="s">
        <v>106</v>
      </c>
      <c r="C4" s="6" t="s">
        <v>52</v>
      </c>
      <c r="D4" s="14">
        <v>6941764429598</v>
      </c>
      <c r="E4" s="14" t="s">
        <v>11</v>
      </c>
      <c r="F4" s="14" t="s">
        <v>12</v>
      </c>
      <c r="G4" s="6">
        <v>13999</v>
      </c>
      <c r="H4" s="4">
        <v>14999</v>
      </c>
      <c r="I4" s="4">
        <v>1000</v>
      </c>
      <c r="J4" s="4" t="s">
        <v>113</v>
      </c>
      <c r="K4" s="4" t="s">
        <v>53</v>
      </c>
      <c r="L4" s="4" t="s">
        <v>53</v>
      </c>
    </row>
    <row r="5" spans="1:12" ht="15" thickBot="1" x14ac:dyDescent="0.4">
      <c r="A5" s="42" t="s">
        <v>105</v>
      </c>
      <c r="B5" s="6" t="s">
        <v>106</v>
      </c>
      <c r="C5" s="6" t="s">
        <v>45</v>
      </c>
      <c r="D5" s="14">
        <v>6941764447479</v>
      </c>
      <c r="E5" s="14" t="s">
        <v>11</v>
      </c>
      <c r="F5" s="14" t="s">
        <v>12</v>
      </c>
      <c r="G5" s="6">
        <v>14999</v>
      </c>
      <c r="H5" s="4">
        <v>15999</v>
      </c>
      <c r="I5" s="4">
        <v>1000</v>
      </c>
      <c r="J5" s="4" t="s">
        <v>113</v>
      </c>
      <c r="K5" s="4" t="s">
        <v>53</v>
      </c>
      <c r="L5" s="4" t="s">
        <v>53</v>
      </c>
    </row>
    <row r="6" spans="1:12" ht="15" thickBot="1" x14ac:dyDescent="0.4">
      <c r="A6" s="42" t="s">
        <v>105</v>
      </c>
      <c r="B6" s="6" t="s">
        <v>106</v>
      </c>
      <c r="C6" s="6" t="s">
        <v>45</v>
      </c>
      <c r="D6" s="14">
        <v>6941764429628</v>
      </c>
      <c r="E6" s="14" t="s">
        <v>11</v>
      </c>
      <c r="F6" s="14" t="s">
        <v>12</v>
      </c>
      <c r="G6" s="6">
        <v>14999</v>
      </c>
      <c r="H6" s="4">
        <v>15999</v>
      </c>
      <c r="I6" s="4">
        <v>1000</v>
      </c>
      <c r="J6" s="4" t="s">
        <v>113</v>
      </c>
      <c r="K6" s="4" t="s">
        <v>53</v>
      </c>
      <c r="L6" s="4" t="s">
        <v>53</v>
      </c>
    </row>
    <row r="7" spans="1:12" ht="15" thickBot="1" x14ac:dyDescent="0.4">
      <c r="A7" s="42" t="s">
        <v>105</v>
      </c>
      <c r="B7" s="6" t="s">
        <v>106</v>
      </c>
      <c r="C7" s="6" t="s">
        <v>45</v>
      </c>
      <c r="D7" s="14">
        <v>6941764429604</v>
      </c>
      <c r="E7" s="14" t="s">
        <v>11</v>
      </c>
      <c r="F7" s="14" t="s">
        <v>12</v>
      </c>
      <c r="G7" s="6">
        <v>14999</v>
      </c>
      <c r="H7" s="4">
        <v>15999</v>
      </c>
      <c r="I7" s="4">
        <v>1000</v>
      </c>
      <c r="J7" s="4" t="s">
        <v>113</v>
      </c>
      <c r="K7" s="4" t="s">
        <v>53</v>
      </c>
      <c r="L7" s="4" t="s">
        <v>53</v>
      </c>
    </row>
    <row r="8" spans="1:12" ht="15" thickBot="1" x14ac:dyDescent="0.4">
      <c r="A8" s="42" t="s">
        <v>105</v>
      </c>
      <c r="B8" s="6" t="s">
        <v>107</v>
      </c>
      <c r="C8" s="6" t="s">
        <v>45</v>
      </c>
      <c r="D8" s="14">
        <v>6941764446564</v>
      </c>
      <c r="E8" s="14" t="s">
        <v>11</v>
      </c>
      <c r="F8" s="14" t="s">
        <v>12</v>
      </c>
      <c r="G8" s="6">
        <v>19999</v>
      </c>
      <c r="H8" s="4">
        <v>21999</v>
      </c>
      <c r="I8" s="4">
        <v>3000</v>
      </c>
      <c r="J8" s="4" t="s">
        <v>113</v>
      </c>
      <c r="K8" s="4" t="s">
        <v>53</v>
      </c>
      <c r="L8" s="4" t="s">
        <v>53</v>
      </c>
    </row>
    <row r="9" spans="1:12" ht="15" thickBot="1" x14ac:dyDescent="0.4">
      <c r="A9" s="42" t="s">
        <v>105</v>
      </c>
      <c r="B9" s="6" t="s">
        <v>107</v>
      </c>
      <c r="C9" s="6" t="s">
        <v>45</v>
      </c>
      <c r="D9" s="14">
        <v>6941764446526</v>
      </c>
      <c r="E9" s="14" t="s">
        <v>11</v>
      </c>
      <c r="F9" s="14" t="s">
        <v>12</v>
      </c>
      <c r="G9" s="6">
        <v>19999</v>
      </c>
      <c r="H9" s="4">
        <v>21999</v>
      </c>
      <c r="I9" s="4">
        <v>3000</v>
      </c>
      <c r="J9" s="4" t="s">
        <v>113</v>
      </c>
      <c r="K9" s="4" t="s">
        <v>53</v>
      </c>
      <c r="L9" s="4" t="s">
        <v>53</v>
      </c>
    </row>
    <row r="10" spans="1:12" ht="15" thickBot="1" x14ac:dyDescent="0.4">
      <c r="A10" s="42" t="s">
        <v>105</v>
      </c>
      <c r="B10" s="6" t="s">
        <v>107</v>
      </c>
      <c r="C10" s="6" t="s">
        <v>49</v>
      </c>
      <c r="D10" s="14">
        <v>6941764446588</v>
      </c>
      <c r="E10" s="14" t="s">
        <v>11</v>
      </c>
      <c r="F10" s="14" t="s">
        <v>12</v>
      </c>
      <c r="G10" s="6">
        <v>22999</v>
      </c>
      <c r="H10" s="4">
        <v>24999</v>
      </c>
      <c r="I10" s="4">
        <v>4000</v>
      </c>
      <c r="J10" s="4" t="s">
        <v>113</v>
      </c>
      <c r="K10" s="4" t="s">
        <v>53</v>
      </c>
      <c r="L10" s="4" t="s">
        <v>53</v>
      </c>
    </row>
    <row r="11" spans="1:12" ht="15" thickBot="1" x14ac:dyDescent="0.4">
      <c r="A11" s="42" t="s">
        <v>105</v>
      </c>
      <c r="B11" s="6" t="s">
        <v>107</v>
      </c>
      <c r="C11" s="6" t="s">
        <v>49</v>
      </c>
      <c r="D11" s="14">
        <v>6941764446540</v>
      </c>
      <c r="E11" s="14" t="s">
        <v>11</v>
      </c>
      <c r="F11" s="14" t="s">
        <v>12</v>
      </c>
      <c r="G11" s="6">
        <v>22999</v>
      </c>
      <c r="H11" s="4">
        <v>24999</v>
      </c>
      <c r="I11" s="4">
        <v>4000</v>
      </c>
      <c r="J11" s="4" t="s">
        <v>113</v>
      </c>
      <c r="K11" s="4" t="s">
        <v>53</v>
      </c>
      <c r="L11" s="4" t="s">
        <v>53</v>
      </c>
    </row>
    <row r="12" spans="1:12" ht="15" thickBot="1" x14ac:dyDescent="0.4">
      <c r="A12" s="42" t="s">
        <v>105</v>
      </c>
      <c r="B12" s="6" t="s">
        <v>107</v>
      </c>
      <c r="C12" s="6" t="s">
        <v>50</v>
      </c>
      <c r="D12" s="14">
        <v>6941764446595</v>
      </c>
      <c r="E12" s="14" t="s">
        <v>11</v>
      </c>
      <c r="F12" s="14" t="s">
        <v>12</v>
      </c>
      <c r="G12" s="6">
        <v>25999</v>
      </c>
      <c r="H12" s="4">
        <v>27999</v>
      </c>
      <c r="I12" s="4">
        <v>4000</v>
      </c>
      <c r="J12" s="4" t="s">
        <v>113</v>
      </c>
      <c r="K12" s="4" t="s">
        <v>53</v>
      </c>
      <c r="L12" s="4" t="s">
        <v>53</v>
      </c>
    </row>
    <row r="13" spans="1:12" ht="15" thickBot="1" x14ac:dyDescent="0.4">
      <c r="A13" s="42" t="s">
        <v>105</v>
      </c>
      <c r="B13" s="6" t="s">
        <v>107</v>
      </c>
      <c r="C13" s="6" t="s">
        <v>50</v>
      </c>
      <c r="D13" s="14">
        <v>6941764446557</v>
      </c>
      <c r="E13" s="14" t="s">
        <v>11</v>
      </c>
      <c r="F13" s="14" t="s">
        <v>12</v>
      </c>
      <c r="G13" s="6">
        <v>25999</v>
      </c>
      <c r="H13" s="4">
        <v>27999</v>
      </c>
      <c r="I13" s="4">
        <v>4000</v>
      </c>
      <c r="J13" s="4" t="s">
        <v>113</v>
      </c>
      <c r="K13" s="4" t="s">
        <v>53</v>
      </c>
      <c r="L13" s="4" t="s">
        <v>53</v>
      </c>
    </row>
    <row r="14" spans="1:12" ht="15" thickBot="1" x14ac:dyDescent="0.4">
      <c r="A14" s="43" t="s">
        <v>105</v>
      </c>
      <c r="B14" s="6" t="s">
        <v>108</v>
      </c>
      <c r="C14" s="6" t="s">
        <v>45</v>
      </c>
      <c r="D14" s="14">
        <v>6941764458864</v>
      </c>
      <c r="E14" s="14" t="s">
        <v>11</v>
      </c>
      <c r="F14" s="14" t="s">
        <v>12</v>
      </c>
      <c r="G14" s="6">
        <v>24999</v>
      </c>
      <c r="H14" s="4">
        <v>26999</v>
      </c>
      <c r="I14" s="4">
        <v>3000</v>
      </c>
      <c r="J14" s="4" t="s">
        <v>113</v>
      </c>
      <c r="K14" s="4">
        <v>3000</v>
      </c>
      <c r="L14" s="4" t="s">
        <v>116</v>
      </c>
    </row>
    <row r="15" spans="1:12" ht="15" thickBot="1" x14ac:dyDescent="0.4">
      <c r="A15" s="43" t="s">
        <v>105</v>
      </c>
      <c r="B15" s="6" t="s">
        <v>108</v>
      </c>
      <c r="C15" s="6" t="s">
        <v>45</v>
      </c>
      <c r="D15" s="14">
        <v>6941764458871</v>
      </c>
      <c r="E15" s="14" t="s">
        <v>11</v>
      </c>
      <c r="F15" s="14" t="s">
        <v>12</v>
      </c>
      <c r="G15" s="6">
        <v>24999</v>
      </c>
      <c r="H15" s="4">
        <v>26999</v>
      </c>
      <c r="I15" s="4">
        <v>3000</v>
      </c>
      <c r="J15" s="4" t="s">
        <v>113</v>
      </c>
      <c r="K15" s="4">
        <v>3000</v>
      </c>
      <c r="L15" s="4" t="s">
        <v>116</v>
      </c>
    </row>
    <row r="16" spans="1:12" ht="15" thickBot="1" x14ac:dyDescent="0.4">
      <c r="A16" s="43" t="s">
        <v>105</v>
      </c>
      <c r="B16" s="6" t="s">
        <v>108</v>
      </c>
      <c r="C16" s="6" t="s">
        <v>45</v>
      </c>
      <c r="D16" s="14">
        <v>6941764458888</v>
      </c>
      <c r="E16" s="14" t="s">
        <v>11</v>
      </c>
      <c r="F16" s="14" t="s">
        <v>12</v>
      </c>
      <c r="G16" s="6">
        <v>24999</v>
      </c>
      <c r="H16" s="4">
        <v>26999</v>
      </c>
      <c r="I16" s="4">
        <v>3000</v>
      </c>
      <c r="J16" s="4" t="s">
        <v>113</v>
      </c>
      <c r="K16" s="4">
        <v>3000</v>
      </c>
      <c r="L16" s="4" t="s">
        <v>116</v>
      </c>
    </row>
    <row r="17" spans="1:12" ht="15" thickBot="1" x14ac:dyDescent="0.4">
      <c r="A17" s="43" t="s">
        <v>105</v>
      </c>
      <c r="B17" s="6" t="s">
        <v>108</v>
      </c>
      <c r="C17" s="6" t="s">
        <v>47</v>
      </c>
      <c r="D17" s="14">
        <v>6941764458895</v>
      </c>
      <c r="E17" s="14" t="s">
        <v>11</v>
      </c>
      <c r="F17" s="14" t="s">
        <v>12</v>
      </c>
      <c r="G17" s="6">
        <v>25999</v>
      </c>
      <c r="H17" s="4">
        <v>27999</v>
      </c>
      <c r="I17" s="4">
        <v>3000</v>
      </c>
      <c r="J17" s="4" t="s">
        <v>113</v>
      </c>
      <c r="K17" s="4">
        <v>3000</v>
      </c>
      <c r="L17" s="4" t="s">
        <v>116</v>
      </c>
    </row>
    <row r="18" spans="1:12" ht="15" thickBot="1" x14ac:dyDescent="0.4">
      <c r="A18" s="43" t="s">
        <v>105</v>
      </c>
      <c r="B18" s="6" t="s">
        <v>108</v>
      </c>
      <c r="C18" s="6" t="s">
        <v>47</v>
      </c>
      <c r="D18" s="14">
        <v>6941764458901</v>
      </c>
      <c r="E18" s="14" t="s">
        <v>11</v>
      </c>
      <c r="F18" s="14" t="s">
        <v>12</v>
      </c>
      <c r="G18" s="6">
        <v>25999</v>
      </c>
      <c r="H18" s="4">
        <v>27999</v>
      </c>
      <c r="I18" s="4">
        <v>3000</v>
      </c>
      <c r="J18" s="4" t="s">
        <v>113</v>
      </c>
      <c r="K18" s="4">
        <v>3000</v>
      </c>
      <c r="L18" s="4" t="s">
        <v>116</v>
      </c>
    </row>
    <row r="19" spans="1:12" ht="15" thickBot="1" x14ac:dyDescent="0.4">
      <c r="A19" s="43" t="s">
        <v>105</v>
      </c>
      <c r="B19" s="6" t="s">
        <v>108</v>
      </c>
      <c r="C19" s="6" t="s">
        <v>47</v>
      </c>
      <c r="D19" s="14">
        <v>6941764458918</v>
      </c>
      <c r="E19" s="14" t="s">
        <v>11</v>
      </c>
      <c r="F19" s="14" t="s">
        <v>12</v>
      </c>
      <c r="G19" s="6">
        <v>25999</v>
      </c>
      <c r="H19" s="4">
        <v>27999</v>
      </c>
      <c r="I19" s="4">
        <v>3000</v>
      </c>
      <c r="J19" s="4" t="s">
        <v>113</v>
      </c>
      <c r="K19" s="4">
        <v>3000</v>
      </c>
      <c r="L19" s="4" t="s">
        <v>116</v>
      </c>
    </row>
    <row r="20" spans="1:12" ht="15" thickBot="1" x14ac:dyDescent="0.4">
      <c r="A20" s="43" t="s">
        <v>105</v>
      </c>
      <c r="B20" s="6" t="s">
        <v>108</v>
      </c>
      <c r="C20" s="6" t="s">
        <v>49</v>
      </c>
      <c r="D20" s="14">
        <v>6941764458925</v>
      </c>
      <c r="E20" s="14" t="s">
        <v>11</v>
      </c>
      <c r="F20" s="14" t="s">
        <v>12</v>
      </c>
      <c r="G20" s="6">
        <v>27999</v>
      </c>
      <c r="H20" s="4">
        <v>29999</v>
      </c>
      <c r="I20" s="4">
        <v>3000</v>
      </c>
      <c r="J20" s="4" t="s">
        <v>113</v>
      </c>
      <c r="K20" s="4">
        <v>3000</v>
      </c>
      <c r="L20" s="4" t="s">
        <v>116</v>
      </c>
    </row>
    <row r="21" spans="1:12" ht="15" thickBot="1" x14ac:dyDescent="0.4">
      <c r="A21" s="43" t="s">
        <v>105</v>
      </c>
      <c r="B21" s="6" t="s">
        <v>108</v>
      </c>
      <c r="C21" s="6" t="s">
        <v>49</v>
      </c>
      <c r="D21" s="14">
        <v>6941764458932</v>
      </c>
      <c r="E21" s="14" t="s">
        <v>11</v>
      </c>
      <c r="F21" s="14" t="s">
        <v>12</v>
      </c>
      <c r="G21" s="6">
        <v>27999</v>
      </c>
      <c r="H21" s="4">
        <v>29999</v>
      </c>
      <c r="I21" s="4">
        <v>3000</v>
      </c>
      <c r="J21" s="4" t="s">
        <v>113</v>
      </c>
      <c r="K21" s="4">
        <v>3000</v>
      </c>
      <c r="L21" s="4" t="s">
        <v>116</v>
      </c>
    </row>
    <row r="22" spans="1:12" ht="15" thickBot="1" x14ac:dyDescent="0.4">
      <c r="A22" s="43" t="s">
        <v>105</v>
      </c>
      <c r="B22" s="6" t="s">
        <v>108</v>
      </c>
      <c r="C22" s="6" t="s">
        <v>49</v>
      </c>
      <c r="D22" s="14">
        <v>6941764458949</v>
      </c>
      <c r="E22" s="14" t="s">
        <v>11</v>
      </c>
      <c r="F22" s="14" t="s">
        <v>12</v>
      </c>
      <c r="G22" s="6">
        <v>27999</v>
      </c>
      <c r="H22" s="4">
        <v>29999</v>
      </c>
      <c r="I22" s="4">
        <v>3000</v>
      </c>
      <c r="J22" s="4" t="s">
        <v>113</v>
      </c>
      <c r="K22" s="4">
        <v>3000</v>
      </c>
      <c r="L22" s="4" t="s">
        <v>116</v>
      </c>
    </row>
    <row r="23" spans="1:12" ht="15" thickBot="1" x14ac:dyDescent="0.4">
      <c r="A23" s="44" t="s">
        <v>105</v>
      </c>
      <c r="B23" s="6" t="s">
        <v>109</v>
      </c>
      <c r="C23" s="6" t="s">
        <v>47</v>
      </c>
      <c r="D23" s="14">
        <v>6941764433496</v>
      </c>
      <c r="E23" s="14" t="s">
        <v>11</v>
      </c>
      <c r="F23" s="14" t="s">
        <v>12</v>
      </c>
      <c r="G23" s="6">
        <v>33999</v>
      </c>
      <c r="H23" s="4">
        <v>35999</v>
      </c>
      <c r="I23" s="4">
        <v>2000</v>
      </c>
      <c r="J23" s="4" t="s">
        <v>113</v>
      </c>
      <c r="K23" s="4" t="s">
        <v>53</v>
      </c>
      <c r="L23" s="4" t="s">
        <v>53</v>
      </c>
    </row>
    <row r="24" spans="1:12" ht="15" thickBot="1" x14ac:dyDescent="0.4">
      <c r="A24" s="44" t="s">
        <v>105</v>
      </c>
      <c r="B24" s="6" t="s">
        <v>109</v>
      </c>
      <c r="C24" s="6" t="s">
        <v>47</v>
      </c>
      <c r="D24" s="14">
        <v>6941764438699</v>
      </c>
      <c r="E24" s="14" t="s">
        <v>11</v>
      </c>
      <c r="F24" s="14" t="s">
        <v>12</v>
      </c>
      <c r="G24" s="6">
        <v>33999</v>
      </c>
      <c r="H24" s="4">
        <v>35999</v>
      </c>
      <c r="I24" s="4">
        <v>2000</v>
      </c>
      <c r="J24" s="4" t="s">
        <v>113</v>
      </c>
      <c r="K24" s="4" t="s">
        <v>53</v>
      </c>
      <c r="L24" s="4" t="s">
        <v>53</v>
      </c>
    </row>
    <row r="25" spans="1:12" ht="15" thickBot="1" x14ac:dyDescent="0.4">
      <c r="A25" s="44" t="s">
        <v>105</v>
      </c>
      <c r="B25" s="6" t="s">
        <v>109</v>
      </c>
      <c r="C25" s="6" t="s">
        <v>49</v>
      </c>
      <c r="D25" s="14">
        <v>6941764435735</v>
      </c>
      <c r="E25" s="14" t="s">
        <v>11</v>
      </c>
      <c r="F25" s="14" t="s">
        <v>12</v>
      </c>
      <c r="G25" s="6">
        <v>33999</v>
      </c>
      <c r="H25" s="4">
        <v>37999</v>
      </c>
      <c r="I25" s="4">
        <v>2000</v>
      </c>
      <c r="J25" s="4" t="s">
        <v>113</v>
      </c>
      <c r="K25" s="4" t="s">
        <v>53</v>
      </c>
      <c r="L25" s="4" t="s">
        <v>53</v>
      </c>
    </row>
    <row r="26" spans="1:12" ht="15" thickBot="1" x14ac:dyDescent="0.4">
      <c r="A26" s="44" t="s">
        <v>105</v>
      </c>
      <c r="B26" s="6" t="s">
        <v>109</v>
      </c>
      <c r="C26" s="6" t="s">
        <v>49</v>
      </c>
      <c r="D26" s="14">
        <v>6941764435704</v>
      </c>
      <c r="E26" s="14" t="s">
        <v>11</v>
      </c>
      <c r="F26" s="14" t="s">
        <v>12</v>
      </c>
      <c r="G26" s="6">
        <v>37999</v>
      </c>
      <c r="H26" s="4">
        <v>37999</v>
      </c>
      <c r="I26" s="4">
        <v>2000</v>
      </c>
      <c r="J26" s="4" t="s">
        <v>113</v>
      </c>
      <c r="K26" s="4" t="s">
        <v>53</v>
      </c>
      <c r="L26" s="4" t="s">
        <v>53</v>
      </c>
    </row>
    <row r="27" spans="1:12" ht="15" thickBot="1" x14ac:dyDescent="0.4">
      <c r="A27" s="44" t="s">
        <v>105</v>
      </c>
      <c r="B27" s="6" t="s">
        <v>109</v>
      </c>
      <c r="C27" s="6" t="s">
        <v>55</v>
      </c>
      <c r="D27" s="14">
        <v>6941764435742</v>
      </c>
      <c r="E27" s="14" t="s">
        <v>11</v>
      </c>
      <c r="F27" s="14" t="s">
        <v>12</v>
      </c>
      <c r="G27" s="6">
        <v>37999</v>
      </c>
      <c r="H27" s="4">
        <v>39999</v>
      </c>
      <c r="I27" s="4">
        <v>2000</v>
      </c>
      <c r="J27" s="4" t="s">
        <v>113</v>
      </c>
      <c r="K27" s="4" t="s">
        <v>53</v>
      </c>
      <c r="L27" s="4" t="s">
        <v>53</v>
      </c>
    </row>
    <row r="28" spans="1:12" ht="15" thickBot="1" x14ac:dyDescent="0.4">
      <c r="A28" s="44" t="s">
        <v>105</v>
      </c>
      <c r="B28" s="6" t="s">
        <v>109</v>
      </c>
      <c r="C28" s="6" t="s">
        <v>55</v>
      </c>
      <c r="D28" s="14">
        <v>6941764435711</v>
      </c>
      <c r="E28" s="14" t="s">
        <v>11</v>
      </c>
      <c r="F28" s="14" t="s">
        <v>12</v>
      </c>
      <c r="G28" s="6">
        <v>37999</v>
      </c>
      <c r="H28" s="4">
        <v>39999</v>
      </c>
      <c r="I28" s="4">
        <v>2000</v>
      </c>
      <c r="J28" s="4" t="s">
        <v>113</v>
      </c>
      <c r="K28" s="4" t="s">
        <v>53</v>
      </c>
      <c r="L28" s="4" t="s">
        <v>53</v>
      </c>
    </row>
    <row r="29" spans="1:12" ht="15" thickBot="1" x14ac:dyDescent="0.4">
      <c r="A29" s="45" t="s">
        <v>105</v>
      </c>
      <c r="B29" s="6" t="s">
        <v>48</v>
      </c>
      <c r="C29" s="6" t="s">
        <v>50</v>
      </c>
      <c r="D29" s="14">
        <v>6941764452497</v>
      </c>
      <c r="E29" s="14" t="s">
        <v>27</v>
      </c>
      <c r="F29" s="14" t="s">
        <v>28</v>
      </c>
      <c r="G29" s="6">
        <v>34999</v>
      </c>
      <c r="H29" s="6">
        <v>37999</v>
      </c>
      <c r="I29" s="6">
        <v>4000</v>
      </c>
      <c r="J29" s="4" t="s">
        <v>113</v>
      </c>
      <c r="K29" s="4">
        <v>3000</v>
      </c>
      <c r="L29" s="4" t="s">
        <v>46</v>
      </c>
    </row>
    <row r="30" spans="1:12" ht="15" thickBot="1" x14ac:dyDescent="0.4">
      <c r="A30" s="45" t="s">
        <v>105</v>
      </c>
      <c r="B30" s="6" t="s">
        <v>48</v>
      </c>
      <c r="C30" s="6" t="s">
        <v>50</v>
      </c>
      <c r="D30" s="14">
        <v>6941764452503</v>
      </c>
      <c r="E30" s="14" t="s">
        <v>27</v>
      </c>
      <c r="F30" s="14" t="s">
        <v>28</v>
      </c>
      <c r="G30" s="6">
        <v>34999</v>
      </c>
      <c r="H30" s="6">
        <v>37999</v>
      </c>
      <c r="I30" s="6">
        <v>4000</v>
      </c>
      <c r="J30" s="4" t="s">
        <v>113</v>
      </c>
      <c r="K30" s="4">
        <v>3000</v>
      </c>
      <c r="L30" s="4" t="s">
        <v>46</v>
      </c>
    </row>
    <row r="31" spans="1:12" ht="15" thickBot="1" x14ac:dyDescent="0.4">
      <c r="A31" s="45" t="s">
        <v>105</v>
      </c>
      <c r="B31" s="6" t="s">
        <v>48</v>
      </c>
      <c r="C31" s="6" t="s">
        <v>50</v>
      </c>
      <c r="D31" s="14">
        <v>6941764452572</v>
      </c>
      <c r="E31" s="14" t="s">
        <v>27</v>
      </c>
      <c r="F31" s="14" t="s">
        <v>28</v>
      </c>
      <c r="G31" s="6">
        <v>34999</v>
      </c>
      <c r="H31" s="6">
        <v>37999</v>
      </c>
      <c r="I31" s="6">
        <v>4000</v>
      </c>
      <c r="J31" s="4" t="s">
        <v>113</v>
      </c>
      <c r="K31" s="4">
        <v>3000</v>
      </c>
      <c r="L31" s="4" t="s">
        <v>46</v>
      </c>
    </row>
    <row r="33" spans="1:7" ht="15.5" x14ac:dyDescent="0.35">
      <c r="A33" s="12"/>
    </row>
    <row r="35" spans="1:7" ht="15.5" x14ac:dyDescent="0.35">
      <c r="A35" s="47" t="s">
        <v>110</v>
      </c>
    </row>
    <row r="37" spans="1:7" ht="15.5" x14ac:dyDescent="0.35">
      <c r="A37" s="12"/>
    </row>
    <row r="38" spans="1:7" ht="15" thickBot="1" x14ac:dyDescent="0.4"/>
    <row r="39" spans="1:7" ht="15" thickBot="1" x14ac:dyDescent="0.4">
      <c r="A39" s="19"/>
      <c r="B39" s="97" t="s">
        <v>41</v>
      </c>
      <c r="C39" s="98"/>
      <c r="D39" s="107" t="s">
        <v>43</v>
      </c>
      <c r="E39" s="108"/>
      <c r="F39" s="108"/>
      <c r="G39" s="109"/>
    </row>
    <row r="40" spans="1:7" ht="15" thickBot="1" x14ac:dyDescent="0.4">
      <c r="A40" s="22" t="s">
        <v>56</v>
      </c>
      <c r="B40" s="23" t="s">
        <v>57</v>
      </c>
      <c r="C40" s="23" t="s">
        <v>418</v>
      </c>
      <c r="D40" s="23" t="s">
        <v>57</v>
      </c>
      <c r="E40" s="23"/>
      <c r="F40" s="23"/>
      <c r="G40" s="23" t="s">
        <v>418</v>
      </c>
    </row>
    <row r="41" spans="1:7" ht="15" thickBot="1" x14ac:dyDescent="0.4">
      <c r="A41" s="24" t="s">
        <v>61</v>
      </c>
      <c r="B41" s="25">
        <v>0.5</v>
      </c>
      <c r="C41" s="25">
        <v>0.5</v>
      </c>
      <c r="D41" s="23" t="s">
        <v>60</v>
      </c>
      <c r="E41" s="23"/>
      <c r="F41" s="23"/>
      <c r="G41" s="23" t="s">
        <v>60</v>
      </c>
    </row>
    <row r="42" spans="1:7" ht="15" thickBot="1" x14ac:dyDescent="0.4">
      <c r="A42" s="24" t="s">
        <v>62</v>
      </c>
      <c r="B42" s="25">
        <v>0.7</v>
      </c>
      <c r="C42" s="25">
        <v>0.3</v>
      </c>
      <c r="D42" s="25">
        <v>0</v>
      </c>
      <c r="E42" s="25"/>
      <c r="F42" s="25"/>
      <c r="G42" s="25">
        <v>1</v>
      </c>
    </row>
    <row r="43" spans="1:7" ht="15" thickBot="1" x14ac:dyDescent="0.4">
      <c r="A43" s="24" t="s">
        <v>66</v>
      </c>
      <c r="B43" s="23" t="s">
        <v>60</v>
      </c>
      <c r="C43" s="23" t="s">
        <v>60</v>
      </c>
      <c r="D43" s="25">
        <v>0</v>
      </c>
      <c r="E43" s="25"/>
      <c r="F43" s="25"/>
      <c r="G43" s="25">
        <v>1</v>
      </c>
    </row>
    <row r="44" spans="1:7" ht="15" thickBot="1" x14ac:dyDescent="0.4">
      <c r="A44" s="24" t="s">
        <v>67</v>
      </c>
      <c r="B44" s="25">
        <v>0.5</v>
      </c>
      <c r="C44" s="25">
        <v>0.5</v>
      </c>
      <c r="D44" s="23" t="s">
        <v>60</v>
      </c>
      <c r="E44" s="23"/>
      <c r="F44" s="23"/>
      <c r="G44" s="23" t="s">
        <v>60</v>
      </c>
    </row>
    <row r="45" spans="1:7" ht="15" thickBot="1" x14ac:dyDescent="0.4">
      <c r="A45" s="24" t="s">
        <v>69</v>
      </c>
      <c r="B45" s="25">
        <v>0</v>
      </c>
      <c r="C45" s="25">
        <v>1</v>
      </c>
      <c r="D45" s="25">
        <v>0</v>
      </c>
      <c r="E45" s="25"/>
      <c r="F45" s="25"/>
      <c r="G45" s="25">
        <v>1</v>
      </c>
    </row>
    <row r="46" spans="1:7" ht="15" thickBot="1" x14ac:dyDescent="0.4">
      <c r="A46" s="24" t="s">
        <v>72</v>
      </c>
      <c r="B46" s="25">
        <v>0.2</v>
      </c>
      <c r="C46" s="25">
        <v>0.8</v>
      </c>
      <c r="D46" s="23" t="s">
        <v>60</v>
      </c>
      <c r="E46" s="23"/>
      <c r="F46" s="23"/>
      <c r="G46" s="23" t="s">
        <v>60</v>
      </c>
    </row>
    <row r="47" spans="1:7" ht="15" thickBot="1" x14ac:dyDescent="0.4">
      <c r="A47" s="24" t="s">
        <v>73</v>
      </c>
      <c r="B47" s="23" t="s">
        <v>60</v>
      </c>
      <c r="C47" s="23" t="s">
        <v>60</v>
      </c>
      <c r="D47" s="25">
        <v>0</v>
      </c>
      <c r="E47" s="25"/>
      <c r="F47" s="25"/>
      <c r="G47" s="25">
        <v>1</v>
      </c>
    </row>
    <row r="49" spans="1:1" ht="15.5" x14ac:dyDescent="0.35">
      <c r="A49" s="12"/>
    </row>
    <row r="51" spans="1:1" ht="108.5" x14ac:dyDescent="0.35">
      <c r="A51" s="46" t="s">
        <v>111</v>
      </c>
    </row>
  </sheetData>
  <mergeCells count="2">
    <mergeCell ref="B39:C39"/>
    <mergeCell ref="D39:G3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668DD-CE8E-4499-BA0E-72AE889AC148}">
  <dimension ref="A1:H10"/>
  <sheetViews>
    <sheetView workbookViewId="0">
      <selection activeCell="A4" sqref="A4:A9"/>
    </sheetView>
  </sheetViews>
  <sheetFormatPr defaultRowHeight="14.5" x14ac:dyDescent="0.35"/>
  <cols>
    <col min="1" max="1" width="14.54296875" bestFit="1" customWidth="1"/>
    <col min="2" max="2" width="5" bestFit="1" customWidth="1"/>
    <col min="3" max="3" width="6.36328125" bestFit="1" customWidth="1"/>
    <col min="4" max="4" width="15" bestFit="1" customWidth="1"/>
    <col min="5" max="5" width="7.90625" bestFit="1" customWidth="1"/>
    <col min="6" max="6" width="5.36328125" bestFit="1" customWidth="1"/>
    <col min="7" max="7" width="5.90625" bestFit="1" customWidth="1"/>
    <col min="8" max="8" width="39.81640625" bestFit="1" customWidth="1"/>
  </cols>
  <sheetData>
    <row r="1" spans="1:8" ht="15.5" x14ac:dyDescent="0.35">
      <c r="A1" s="32" t="s">
        <v>117</v>
      </c>
    </row>
    <row r="2" spans="1:8" ht="16" thickBot="1" x14ac:dyDescent="0.4">
      <c r="A2" s="48"/>
    </row>
    <row r="3" spans="1:8" ht="15" thickBot="1" x14ac:dyDescent="0.4">
      <c r="A3" s="15" t="s">
        <v>103</v>
      </c>
      <c r="B3" s="16" t="s">
        <v>38</v>
      </c>
      <c r="C3" s="16" t="s">
        <v>104</v>
      </c>
      <c r="D3" s="16" t="s">
        <v>2</v>
      </c>
      <c r="E3" s="49" t="s">
        <v>40</v>
      </c>
      <c r="F3" s="16" t="s">
        <v>3</v>
      </c>
      <c r="G3" s="16" t="s">
        <v>41</v>
      </c>
      <c r="H3" s="16" t="s">
        <v>42</v>
      </c>
    </row>
    <row r="4" spans="1:8" ht="15" thickBot="1" x14ac:dyDescent="0.4">
      <c r="A4" s="44" t="s">
        <v>105</v>
      </c>
      <c r="B4" s="6" t="s">
        <v>109</v>
      </c>
      <c r="C4" s="6" t="s">
        <v>47</v>
      </c>
      <c r="D4" s="14">
        <v>6941764433496</v>
      </c>
      <c r="E4" s="50">
        <v>33999</v>
      </c>
      <c r="F4" s="6">
        <v>35999</v>
      </c>
      <c r="G4" s="6">
        <v>2000</v>
      </c>
      <c r="H4" s="6" t="s">
        <v>112</v>
      </c>
    </row>
    <row r="5" spans="1:8" ht="15" thickBot="1" x14ac:dyDescent="0.4">
      <c r="A5" s="44" t="s">
        <v>105</v>
      </c>
      <c r="B5" s="6" t="s">
        <v>109</v>
      </c>
      <c r="C5" s="6" t="s">
        <v>47</v>
      </c>
      <c r="D5" s="14">
        <v>6941764438699</v>
      </c>
      <c r="E5" s="50">
        <v>33999</v>
      </c>
      <c r="F5" s="6">
        <v>35999</v>
      </c>
      <c r="G5" s="6">
        <v>2000</v>
      </c>
      <c r="H5" s="6" t="s">
        <v>112</v>
      </c>
    </row>
    <row r="6" spans="1:8" ht="15" thickBot="1" x14ac:dyDescent="0.4">
      <c r="A6" s="44" t="s">
        <v>105</v>
      </c>
      <c r="B6" s="6" t="s">
        <v>109</v>
      </c>
      <c r="C6" s="6" t="s">
        <v>49</v>
      </c>
      <c r="D6" s="14">
        <v>6941764435735</v>
      </c>
      <c r="E6" s="50">
        <v>35999</v>
      </c>
      <c r="F6" s="6">
        <v>37999</v>
      </c>
      <c r="G6" s="6">
        <v>2000</v>
      </c>
      <c r="H6" s="6" t="s">
        <v>112</v>
      </c>
    </row>
    <row r="7" spans="1:8" ht="15" thickBot="1" x14ac:dyDescent="0.4">
      <c r="A7" s="44" t="s">
        <v>105</v>
      </c>
      <c r="B7" s="6" t="s">
        <v>109</v>
      </c>
      <c r="C7" s="6" t="s">
        <v>49</v>
      </c>
      <c r="D7" s="14">
        <v>6941764435704</v>
      </c>
      <c r="E7" s="50">
        <v>35999</v>
      </c>
      <c r="F7" s="6">
        <v>37999</v>
      </c>
      <c r="G7" s="6">
        <v>2000</v>
      </c>
      <c r="H7" s="6" t="s">
        <v>112</v>
      </c>
    </row>
    <row r="8" spans="1:8" ht="15" thickBot="1" x14ac:dyDescent="0.4">
      <c r="A8" s="44" t="s">
        <v>105</v>
      </c>
      <c r="B8" s="6" t="s">
        <v>109</v>
      </c>
      <c r="C8" s="6" t="s">
        <v>55</v>
      </c>
      <c r="D8" s="14">
        <v>6941764435742</v>
      </c>
      <c r="E8" s="50">
        <v>37999</v>
      </c>
      <c r="F8" s="6">
        <v>39999</v>
      </c>
      <c r="G8" s="6">
        <v>2000</v>
      </c>
      <c r="H8" s="6" t="s">
        <v>112</v>
      </c>
    </row>
    <row r="9" spans="1:8" ht="15" thickBot="1" x14ac:dyDescent="0.4">
      <c r="A9" s="44" t="s">
        <v>105</v>
      </c>
      <c r="B9" s="6" t="s">
        <v>109</v>
      </c>
      <c r="C9" s="6" t="s">
        <v>55</v>
      </c>
      <c r="D9" s="14">
        <v>6941764435711</v>
      </c>
      <c r="E9" s="50">
        <v>37999</v>
      </c>
      <c r="F9" s="6">
        <v>39999</v>
      </c>
      <c r="G9" s="6">
        <v>2000</v>
      </c>
      <c r="H9" s="6" t="s">
        <v>112</v>
      </c>
    </row>
    <row r="10" spans="1:8" ht="15.5" x14ac:dyDescent="0.35">
      <c r="A10" s="4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D9A26-FC19-47C0-8DAA-3E7334E7BD36}">
  <dimension ref="A1:M22"/>
  <sheetViews>
    <sheetView workbookViewId="0">
      <selection activeCell="A2" sqref="A2"/>
    </sheetView>
  </sheetViews>
  <sheetFormatPr defaultRowHeight="14.5" x14ac:dyDescent="0.35"/>
  <cols>
    <col min="1" max="1" width="14.54296875" bestFit="1" customWidth="1"/>
    <col min="2" max="2" width="38.7265625" customWidth="1"/>
    <col min="3" max="3" width="10.36328125" customWidth="1"/>
    <col min="4" max="4" width="11.7265625" customWidth="1"/>
    <col min="5" max="5" width="16.7265625" bestFit="1" customWidth="1"/>
    <col min="6" max="6" width="16.7265625" customWidth="1"/>
    <col min="7" max="7" width="24.26953125" customWidth="1"/>
    <col min="8" max="8" width="9.26953125" customWidth="1"/>
    <col min="9" max="9" width="7.7265625" customWidth="1"/>
    <col min="10" max="10" width="5.90625" bestFit="1" customWidth="1"/>
    <col min="11" max="11" width="40.6328125" bestFit="1" customWidth="1"/>
    <col min="12" max="12" width="8" bestFit="1" customWidth="1"/>
    <col min="13" max="13" width="27.453125" bestFit="1" customWidth="1"/>
  </cols>
  <sheetData>
    <row r="1" spans="1:13" ht="16" thickBot="1" x14ac:dyDescent="0.4">
      <c r="A1" s="48"/>
    </row>
    <row r="2" spans="1:13" ht="15" thickBot="1" x14ac:dyDescent="0.4">
      <c r="A2" s="15" t="s">
        <v>103</v>
      </c>
      <c r="B2" s="16" t="s">
        <v>1</v>
      </c>
      <c r="C2" s="16" t="s">
        <v>38</v>
      </c>
      <c r="D2" s="16" t="s">
        <v>104</v>
      </c>
      <c r="E2" s="16" t="s">
        <v>2</v>
      </c>
      <c r="F2" s="16" t="s">
        <v>122</v>
      </c>
      <c r="G2" s="16" t="s">
        <v>123</v>
      </c>
      <c r="H2" s="16" t="s">
        <v>40</v>
      </c>
      <c r="I2" s="16" t="s">
        <v>3</v>
      </c>
      <c r="J2" s="16" t="s">
        <v>41</v>
      </c>
      <c r="K2" s="16" t="s">
        <v>42</v>
      </c>
      <c r="L2" s="16" t="s">
        <v>43</v>
      </c>
      <c r="M2" s="16" t="s">
        <v>42</v>
      </c>
    </row>
    <row r="3" spans="1:13" ht="15" thickBot="1" x14ac:dyDescent="0.4">
      <c r="A3" s="45" t="s">
        <v>118</v>
      </c>
      <c r="B3" s="6" t="s">
        <v>384</v>
      </c>
      <c r="C3" s="6" t="s">
        <v>119</v>
      </c>
      <c r="D3" s="6" t="s">
        <v>45</v>
      </c>
      <c r="E3" s="14">
        <v>6941764458642</v>
      </c>
      <c r="F3" s="14" t="s">
        <v>124</v>
      </c>
      <c r="G3" s="14" t="s">
        <v>12</v>
      </c>
      <c r="H3" s="6">
        <v>21999</v>
      </c>
      <c r="I3" s="6">
        <v>23999</v>
      </c>
      <c r="J3" s="6">
        <v>2000</v>
      </c>
      <c r="K3" s="6" t="s">
        <v>121</v>
      </c>
      <c r="L3" s="6">
        <v>2000</v>
      </c>
      <c r="M3" s="6" t="s">
        <v>120</v>
      </c>
    </row>
    <row r="4" spans="1:13" ht="15" thickBot="1" x14ac:dyDescent="0.4">
      <c r="A4" s="45" t="s">
        <v>118</v>
      </c>
      <c r="B4" s="6" t="s">
        <v>385</v>
      </c>
      <c r="C4" s="6" t="s">
        <v>119</v>
      </c>
      <c r="D4" s="6" t="s">
        <v>45</v>
      </c>
      <c r="E4" s="14">
        <v>6941764458659</v>
      </c>
      <c r="F4" s="14" t="s">
        <v>124</v>
      </c>
      <c r="G4" s="14" t="s">
        <v>12</v>
      </c>
      <c r="H4" s="6">
        <v>21999</v>
      </c>
      <c r="I4" s="6">
        <v>23999</v>
      </c>
      <c r="J4" s="6">
        <v>2000</v>
      </c>
      <c r="K4" s="6" t="s">
        <v>121</v>
      </c>
      <c r="L4" s="6">
        <v>2000</v>
      </c>
      <c r="M4" s="6" t="s">
        <v>120</v>
      </c>
    </row>
    <row r="5" spans="1:13" ht="15" thickBot="1" x14ac:dyDescent="0.4">
      <c r="A5" s="45" t="s">
        <v>118</v>
      </c>
      <c r="B5" s="6" t="s">
        <v>386</v>
      </c>
      <c r="C5" s="6" t="s">
        <v>119</v>
      </c>
      <c r="D5" s="6" t="s">
        <v>45</v>
      </c>
      <c r="E5" s="14">
        <v>6941764458666</v>
      </c>
      <c r="F5" s="14" t="s">
        <v>124</v>
      </c>
      <c r="G5" s="14" t="s">
        <v>12</v>
      </c>
      <c r="H5" s="6">
        <v>21999</v>
      </c>
      <c r="I5" s="6">
        <v>23999</v>
      </c>
      <c r="J5" s="6">
        <v>2000</v>
      </c>
      <c r="K5" s="6" t="s">
        <v>121</v>
      </c>
      <c r="L5" s="6">
        <v>2000</v>
      </c>
      <c r="M5" s="6" t="s">
        <v>120</v>
      </c>
    </row>
    <row r="6" spans="1:13" ht="15" thickBot="1" x14ac:dyDescent="0.4">
      <c r="A6" s="45" t="s">
        <v>118</v>
      </c>
      <c r="B6" s="6" t="s">
        <v>387</v>
      </c>
      <c r="C6" s="6" t="s">
        <v>119</v>
      </c>
      <c r="D6" s="6" t="s">
        <v>47</v>
      </c>
      <c r="E6" s="14">
        <v>6941764458673</v>
      </c>
      <c r="F6" s="14" t="s">
        <v>124</v>
      </c>
      <c r="G6" s="14" t="s">
        <v>12</v>
      </c>
      <c r="H6" s="6">
        <v>22999</v>
      </c>
      <c r="I6" s="6">
        <v>24999</v>
      </c>
      <c r="J6" s="6">
        <v>2000</v>
      </c>
      <c r="K6" s="6" t="s">
        <v>121</v>
      </c>
      <c r="L6" s="6">
        <v>2000</v>
      </c>
      <c r="M6" s="6" t="s">
        <v>120</v>
      </c>
    </row>
    <row r="7" spans="1:13" ht="15" thickBot="1" x14ac:dyDescent="0.4">
      <c r="A7" s="45" t="s">
        <v>118</v>
      </c>
      <c r="B7" s="6" t="s">
        <v>388</v>
      </c>
      <c r="C7" s="6" t="s">
        <v>119</v>
      </c>
      <c r="D7" s="6" t="s">
        <v>47</v>
      </c>
      <c r="E7" s="14">
        <v>6941764458680</v>
      </c>
      <c r="F7" s="14" t="s">
        <v>124</v>
      </c>
      <c r="G7" s="14" t="s">
        <v>12</v>
      </c>
      <c r="H7" s="6">
        <v>22999</v>
      </c>
      <c r="I7" s="6">
        <v>24999</v>
      </c>
      <c r="J7" s="6">
        <v>2000</v>
      </c>
      <c r="K7" s="6" t="s">
        <v>121</v>
      </c>
      <c r="L7" s="6">
        <v>2000</v>
      </c>
      <c r="M7" s="6" t="s">
        <v>120</v>
      </c>
    </row>
    <row r="8" spans="1:13" ht="15" thickBot="1" x14ac:dyDescent="0.4">
      <c r="A8" s="45" t="s">
        <v>118</v>
      </c>
      <c r="B8" s="6" t="s">
        <v>389</v>
      </c>
      <c r="C8" s="6" t="s">
        <v>119</v>
      </c>
      <c r="D8" s="6" t="s">
        <v>47</v>
      </c>
      <c r="E8" s="14">
        <v>6941764458697</v>
      </c>
      <c r="F8" s="14" t="s">
        <v>124</v>
      </c>
      <c r="G8" s="14" t="s">
        <v>12</v>
      </c>
      <c r="H8" s="6">
        <v>22999</v>
      </c>
      <c r="I8" s="6">
        <v>24999</v>
      </c>
      <c r="J8" s="6">
        <v>2000</v>
      </c>
      <c r="K8" s="6" t="s">
        <v>121</v>
      </c>
      <c r="L8" s="6">
        <v>2000</v>
      </c>
      <c r="M8" s="6" t="s">
        <v>120</v>
      </c>
    </row>
    <row r="9" spans="1:13" ht="15" thickBot="1" x14ac:dyDescent="0.4">
      <c r="A9" s="45" t="s">
        <v>118</v>
      </c>
      <c r="B9" s="6" t="s">
        <v>390</v>
      </c>
      <c r="C9" s="6" t="s">
        <v>119</v>
      </c>
      <c r="D9" s="6" t="s">
        <v>49</v>
      </c>
      <c r="E9" s="14">
        <v>6941764458703</v>
      </c>
      <c r="F9" s="14" t="s">
        <v>124</v>
      </c>
      <c r="G9" s="14" t="s">
        <v>12</v>
      </c>
      <c r="H9" s="6">
        <v>24999</v>
      </c>
      <c r="I9" s="6">
        <v>26999</v>
      </c>
      <c r="J9" s="6">
        <v>2000</v>
      </c>
      <c r="K9" s="6" t="s">
        <v>121</v>
      </c>
      <c r="L9" s="6">
        <v>2000</v>
      </c>
      <c r="M9" s="6" t="s">
        <v>120</v>
      </c>
    </row>
    <row r="10" spans="1:13" ht="15" thickBot="1" x14ac:dyDescent="0.4">
      <c r="A10" s="45" t="s">
        <v>118</v>
      </c>
      <c r="B10" s="6" t="s">
        <v>391</v>
      </c>
      <c r="C10" s="6" t="s">
        <v>119</v>
      </c>
      <c r="D10" s="6" t="s">
        <v>49</v>
      </c>
      <c r="E10" s="14">
        <v>6941764458710</v>
      </c>
      <c r="F10" s="14" t="s">
        <v>124</v>
      </c>
      <c r="G10" s="14" t="s">
        <v>12</v>
      </c>
      <c r="H10" s="6">
        <v>24999</v>
      </c>
      <c r="I10" s="6">
        <v>26999</v>
      </c>
      <c r="J10" s="6">
        <v>2000</v>
      </c>
      <c r="K10" s="6" t="s">
        <v>121</v>
      </c>
      <c r="L10" s="6">
        <v>2000</v>
      </c>
      <c r="M10" s="6" t="s">
        <v>120</v>
      </c>
    </row>
    <row r="11" spans="1:13" ht="15" thickBot="1" x14ac:dyDescent="0.4">
      <c r="A11" s="45" t="s">
        <v>118</v>
      </c>
      <c r="B11" s="6" t="s">
        <v>392</v>
      </c>
      <c r="C11" s="6" t="s">
        <v>119</v>
      </c>
      <c r="D11" s="6" t="s">
        <v>49</v>
      </c>
      <c r="E11" s="14">
        <v>6941764458727</v>
      </c>
      <c r="F11" s="14" t="s">
        <v>124</v>
      </c>
      <c r="G11" s="14" t="s">
        <v>12</v>
      </c>
      <c r="H11" s="6">
        <v>24999</v>
      </c>
      <c r="I11" s="6">
        <v>26999</v>
      </c>
      <c r="J11" s="6">
        <v>2000</v>
      </c>
      <c r="K11" s="6" t="s">
        <v>121</v>
      </c>
      <c r="L11" s="6">
        <v>2000</v>
      </c>
      <c r="M11" s="6" t="s">
        <v>120</v>
      </c>
    </row>
    <row r="12" spans="1:13" ht="16" thickBot="1" x14ac:dyDescent="0.4">
      <c r="A12" s="48"/>
    </row>
    <row r="13" spans="1:13" ht="16" thickBot="1" x14ac:dyDescent="0.4">
      <c r="A13" s="51"/>
      <c r="B13" s="110" t="s">
        <v>41</v>
      </c>
      <c r="C13" s="111"/>
      <c r="D13" s="112" t="s">
        <v>43</v>
      </c>
      <c r="E13" s="113"/>
      <c r="F13" s="55"/>
      <c r="G13" s="55"/>
    </row>
    <row r="14" spans="1:13" ht="16" thickBot="1" x14ac:dyDescent="0.4">
      <c r="A14" s="52" t="s">
        <v>56</v>
      </c>
      <c r="B14" s="39" t="s">
        <v>57</v>
      </c>
      <c r="C14" s="39" t="s">
        <v>418</v>
      </c>
      <c r="D14" s="39" t="s">
        <v>57</v>
      </c>
      <c r="E14" s="39" t="s">
        <v>418</v>
      </c>
      <c r="F14" s="56"/>
      <c r="G14" s="56"/>
    </row>
    <row r="15" spans="1:13" ht="16" thickBot="1" x14ac:dyDescent="0.4">
      <c r="A15" s="53" t="s">
        <v>61</v>
      </c>
      <c r="B15" s="54">
        <v>0.5</v>
      </c>
      <c r="C15" s="54">
        <v>0.5</v>
      </c>
      <c r="D15" s="39" t="s">
        <v>60</v>
      </c>
      <c r="E15" s="39" t="s">
        <v>60</v>
      </c>
      <c r="F15" s="56"/>
      <c r="G15" s="56"/>
    </row>
    <row r="16" spans="1:13" ht="16" thickBot="1" x14ac:dyDescent="0.4">
      <c r="A16" s="53" t="s">
        <v>62</v>
      </c>
      <c r="B16" s="54">
        <v>0.7</v>
      </c>
      <c r="C16" s="54">
        <v>0.3</v>
      </c>
      <c r="D16" s="54">
        <v>0</v>
      </c>
      <c r="E16" s="54">
        <v>1</v>
      </c>
      <c r="F16" s="57"/>
      <c r="G16" s="57"/>
    </row>
    <row r="17" spans="1:7" ht="16" thickBot="1" x14ac:dyDescent="0.4">
      <c r="A17" s="53" t="s">
        <v>66</v>
      </c>
      <c r="B17" s="39" t="s">
        <v>60</v>
      </c>
      <c r="C17" s="39" t="s">
        <v>60</v>
      </c>
      <c r="D17" s="54">
        <v>0</v>
      </c>
      <c r="E17" s="54">
        <v>1</v>
      </c>
      <c r="F17" s="57"/>
      <c r="G17" s="57"/>
    </row>
    <row r="18" spans="1:7" ht="16" thickBot="1" x14ac:dyDescent="0.4">
      <c r="A18" s="53" t="s">
        <v>67</v>
      </c>
      <c r="B18" s="54">
        <v>0.5</v>
      </c>
      <c r="C18" s="54">
        <v>0.5</v>
      </c>
      <c r="D18" s="39" t="s">
        <v>60</v>
      </c>
      <c r="E18" s="39" t="s">
        <v>60</v>
      </c>
      <c r="F18" s="56"/>
      <c r="G18" s="56"/>
    </row>
    <row r="19" spans="1:7" ht="16" thickBot="1" x14ac:dyDescent="0.4">
      <c r="A19" s="53" t="s">
        <v>69</v>
      </c>
      <c r="B19" s="54">
        <v>0</v>
      </c>
      <c r="C19" s="54">
        <v>1</v>
      </c>
      <c r="D19" s="54">
        <v>0</v>
      </c>
      <c r="E19" s="54">
        <v>1</v>
      </c>
      <c r="F19" s="57"/>
      <c r="G19" s="57"/>
    </row>
    <row r="20" spans="1:7" ht="16" thickBot="1" x14ac:dyDescent="0.4">
      <c r="A20" s="53" t="s">
        <v>72</v>
      </c>
      <c r="B20" s="54">
        <v>0.2</v>
      </c>
      <c r="C20" s="54">
        <v>0.8</v>
      </c>
      <c r="D20" s="39" t="s">
        <v>60</v>
      </c>
      <c r="E20" s="39" t="s">
        <v>60</v>
      </c>
      <c r="F20" s="56"/>
      <c r="G20" s="56"/>
    </row>
    <row r="21" spans="1:7" ht="16" thickBot="1" x14ac:dyDescent="0.4">
      <c r="A21" s="53" t="s">
        <v>73</v>
      </c>
      <c r="B21" s="39" t="s">
        <v>60</v>
      </c>
      <c r="C21" s="39" t="s">
        <v>60</v>
      </c>
      <c r="D21" s="54">
        <v>0</v>
      </c>
      <c r="E21" s="54">
        <v>1</v>
      </c>
      <c r="F21" s="57"/>
      <c r="G21" s="57"/>
    </row>
    <row r="22" spans="1:7" ht="15.5" x14ac:dyDescent="0.35">
      <c r="A22" s="51"/>
      <c r="B22" s="51"/>
      <c r="C22" s="51"/>
      <c r="D22" s="51"/>
      <c r="E22" s="51"/>
      <c r="F22" s="51"/>
      <c r="G22" s="51"/>
    </row>
  </sheetData>
  <mergeCells count="2">
    <mergeCell ref="B13:C13"/>
    <mergeCell ref="D13:E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C8D20-3B56-49ED-A655-F15AD0A83B9D}">
  <dimension ref="A1:H29"/>
  <sheetViews>
    <sheetView workbookViewId="0">
      <selection activeCell="H15" sqref="H15"/>
    </sheetView>
  </sheetViews>
  <sheetFormatPr defaultRowHeight="14.5" x14ac:dyDescent="0.35"/>
  <cols>
    <col min="1" max="2" width="14.453125" bestFit="1" customWidth="1"/>
    <col min="3" max="3" width="16.7265625" bestFit="1" customWidth="1"/>
    <col min="4" max="4" width="13.453125" bestFit="1" customWidth="1"/>
    <col min="5" max="5" width="7.90625" bestFit="1" customWidth="1"/>
    <col min="6" max="6" width="5.36328125" bestFit="1" customWidth="1"/>
    <col min="7" max="7" width="5.90625" bestFit="1" customWidth="1"/>
    <col min="8" max="8" width="40.6328125" bestFit="1" customWidth="1"/>
  </cols>
  <sheetData>
    <row r="1" spans="1:8" ht="16" thickBot="1" x14ac:dyDescent="0.4">
      <c r="A1" s="48"/>
    </row>
    <row r="2" spans="1:8" ht="15" thickBot="1" x14ac:dyDescent="0.4">
      <c r="A2" s="15" t="s">
        <v>103</v>
      </c>
      <c r="B2" s="16" t="s">
        <v>38</v>
      </c>
      <c r="C2" s="16" t="s">
        <v>104</v>
      </c>
      <c r="D2" s="16" t="s">
        <v>2</v>
      </c>
      <c r="E2" s="16" t="s">
        <v>40</v>
      </c>
      <c r="F2" s="16" t="s">
        <v>3</v>
      </c>
      <c r="G2" s="16" t="s">
        <v>41</v>
      </c>
      <c r="H2" s="16" t="s">
        <v>42</v>
      </c>
    </row>
    <row r="3" spans="1:8" ht="15" thickBot="1" x14ac:dyDescent="0.4">
      <c r="A3" s="42" t="s">
        <v>126</v>
      </c>
      <c r="B3" s="6" t="s">
        <v>106</v>
      </c>
      <c r="C3" s="6" t="s">
        <v>52</v>
      </c>
      <c r="D3" s="6">
        <v>6941764447462</v>
      </c>
      <c r="E3" s="6">
        <v>13999</v>
      </c>
      <c r="F3" s="6">
        <v>14999</v>
      </c>
      <c r="G3" s="6">
        <v>1000</v>
      </c>
      <c r="H3" s="6" t="s">
        <v>127</v>
      </c>
    </row>
    <row r="4" spans="1:8" ht="15" thickBot="1" x14ac:dyDescent="0.4">
      <c r="A4" s="42" t="s">
        <v>126</v>
      </c>
      <c r="B4" s="6" t="s">
        <v>106</v>
      </c>
      <c r="C4" s="6" t="s">
        <v>52</v>
      </c>
      <c r="D4" s="6">
        <v>6941764429642</v>
      </c>
      <c r="E4" s="6">
        <v>13999</v>
      </c>
      <c r="F4" s="6">
        <v>14999</v>
      </c>
      <c r="G4" s="6">
        <v>1000</v>
      </c>
      <c r="H4" s="6" t="s">
        <v>127</v>
      </c>
    </row>
    <row r="5" spans="1:8" ht="15" thickBot="1" x14ac:dyDescent="0.4">
      <c r="A5" s="42" t="s">
        <v>126</v>
      </c>
      <c r="B5" s="6" t="s">
        <v>106</v>
      </c>
      <c r="C5" s="6" t="s">
        <v>52</v>
      </c>
      <c r="D5" s="6">
        <v>6941764429598</v>
      </c>
      <c r="E5" s="6">
        <v>13999</v>
      </c>
      <c r="F5" s="6">
        <v>14999</v>
      </c>
      <c r="G5" s="6">
        <v>1000</v>
      </c>
      <c r="H5" s="6" t="s">
        <v>127</v>
      </c>
    </row>
    <row r="6" spans="1:8" ht="15" thickBot="1" x14ac:dyDescent="0.4">
      <c r="A6" s="42" t="s">
        <v>126</v>
      </c>
      <c r="B6" s="6" t="s">
        <v>106</v>
      </c>
      <c r="C6" s="6" t="s">
        <v>45</v>
      </c>
      <c r="D6" s="6">
        <v>6941764447479</v>
      </c>
      <c r="E6" s="6">
        <v>14999</v>
      </c>
      <c r="F6" s="6">
        <v>15999</v>
      </c>
      <c r="G6" s="6">
        <v>1000</v>
      </c>
      <c r="H6" s="6" t="s">
        <v>127</v>
      </c>
    </row>
    <row r="7" spans="1:8" ht="15" thickBot="1" x14ac:dyDescent="0.4">
      <c r="A7" s="42" t="s">
        <v>126</v>
      </c>
      <c r="B7" s="6" t="s">
        <v>106</v>
      </c>
      <c r="C7" s="6" t="s">
        <v>45</v>
      </c>
      <c r="D7" s="6">
        <v>6941764429628</v>
      </c>
      <c r="E7" s="6">
        <v>14999</v>
      </c>
      <c r="F7" s="6">
        <v>15999</v>
      </c>
      <c r="G7" s="6">
        <v>1000</v>
      </c>
      <c r="H7" s="6" t="s">
        <v>127</v>
      </c>
    </row>
    <row r="8" spans="1:8" ht="15" thickBot="1" x14ac:dyDescent="0.4">
      <c r="A8" s="42" t="s">
        <v>126</v>
      </c>
      <c r="B8" s="6" t="s">
        <v>106</v>
      </c>
      <c r="C8" s="6" t="s">
        <v>45</v>
      </c>
      <c r="D8" s="6">
        <v>6941764429604</v>
      </c>
      <c r="E8" s="6">
        <v>14999</v>
      </c>
      <c r="F8" s="6">
        <v>15999</v>
      </c>
      <c r="G8" s="6">
        <v>1000</v>
      </c>
      <c r="H8" s="6" t="s">
        <v>127</v>
      </c>
    </row>
    <row r="9" spans="1:8" ht="15" thickBot="1" x14ac:dyDescent="0.4">
      <c r="A9" s="42" t="s">
        <v>126</v>
      </c>
      <c r="B9" s="6" t="s">
        <v>107</v>
      </c>
      <c r="C9" s="6" t="s">
        <v>45</v>
      </c>
      <c r="D9" s="6">
        <v>6941764446564</v>
      </c>
      <c r="E9" s="6">
        <v>19999</v>
      </c>
      <c r="F9" s="6">
        <v>21999</v>
      </c>
      <c r="G9" s="6">
        <v>3000</v>
      </c>
      <c r="H9" s="6" t="s">
        <v>127</v>
      </c>
    </row>
    <row r="10" spans="1:8" ht="15" thickBot="1" x14ac:dyDescent="0.4">
      <c r="A10" s="42" t="s">
        <v>126</v>
      </c>
      <c r="B10" s="6" t="s">
        <v>107</v>
      </c>
      <c r="C10" s="6" t="s">
        <v>45</v>
      </c>
      <c r="D10" s="6">
        <v>6941764446526</v>
      </c>
      <c r="E10" s="6">
        <v>19999</v>
      </c>
      <c r="F10" s="6">
        <v>21999</v>
      </c>
      <c r="G10" s="6">
        <v>3000</v>
      </c>
      <c r="H10" s="6" t="s">
        <v>127</v>
      </c>
    </row>
    <row r="11" spans="1:8" ht="15" thickBot="1" x14ac:dyDescent="0.4">
      <c r="A11" s="42" t="s">
        <v>126</v>
      </c>
      <c r="B11" s="6" t="s">
        <v>107</v>
      </c>
      <c r="C11" s="6" t="s">
        <v>49</v>
      </c>
      <c r="D11" s="6">
        <v>6941764446588</v>
      </c>
      <c r="E11" s="6">
        <v>22999</v>
      </c>
      <c r="F11" s="6">
        <v>24999</v>
      </c>
      <c r="G11" s="6">
        <v>4000</v>
      </c>
      <c r="H11" s="6" t="s">
        <v>127</v>
      </c>
    </row>
    <row r="12" spans="1:8" ht="15" thickBot="1" x14ac:dyDescent="0.4">
      <c r="A12" s="42" t="s">
        <v>126</v>
      </c>
      <c r="B12" s="6" t="s">
        <v>107</v>
      </c>
      <c r="C12" s="6" t="s">
        <v>49</v>
      </c>
      <c r="D12" s="6">
        <v>6941764446540</v>
      </c>
      <c r="E12" s="6">
        <v>22999</v>
      </c>
      <c r="F12" s="6">
        <v>24999</v>
      </c>
      <c r="G12" s="6">
        <v>4000</v>
      </c>
      <c r="H12" s="6" t="s">
        <v>127</v>
      </c>
    </row>
    <row r="13" spans="1:8" ht="15" thickBot="1" x14ac:dyDescent="0.4">
      <c r="A13" s="42" t="s">
        <v>126</v>
      </c>
      <c r="B13" s="6" t="s">
        <v>107</v>
      </c>
      <c r="C13" s="6" t="s">
        <v>50</v>
      </c>
      <c r="D13" s="6">
        <v>6941764446595</v>
      </c>
      <c r="E13" s="6">
        <v>25999</v>
      </c>
      <c r="F13" s="6">
        <v>27999</v>
      </c>
      <c r="G13" s="6">
        <v>4000</v>
      </c>
      <c r="H13" s="6" t="s">
        <v>127</v>
      </c>
    </row>
    <row r="14" spans="1:8" ht="15" thickBot="1" x14ac:dyDescent="0.4">
      <c r="A14" s="42" t="s">
        <v>126</v>
      </c>
      <c r="B14" s="6" t="s">
        <v>107</v>
      </c>
      <c r="C14" s="6" t="s">
        <v>50</v>
      </c>
      <c r="D14" s="6">
        <v>6941764446557</v>
      </c>
      <c r="E14" s="6">
        <v>25999</v>
      </c>
      <c r="F14" s="6">
        <v>27999</v>
      </c>
      <c r="G14" s="6">
        <v>4000</v>
      </c>
      <c r="H14" s="6" t="s">
        <v>127</v>
      </c>
    </row>
    <row r="15" spans="1:8" ht="16" thickBot="1" x14ac:dyDescent="0.4">
      <c r="A15" s="48"/>
    </row>
    <row r="16" spans="1:8" ht="16" thickBot="1" x14ac:dyDescent="0.4">
      <c r="A16" s="51"/>
      <c r="B16" s="110" t="s">
        <v>41</v>
      </c>
      <c r="C16" s="111"/>
    </row>
    <row r="17" spans="1:3" ht="16" thickBot="1" x14ac:dyDescent="0.4">
      <c r="A17" s="52" t="s">
        <v>56</v>
      </c>
      <c r="B17" s="39" t="s">
        <v>57</v>
      </c>
      <c r="C17" s="39" t="s">
        <v>418</v>
      </c>
    </row>
    <row r="18" spans="1:3" ht="16" thickBot="1" x14ac:dyDescent="0.4">
      <c r="A18" s="53" t="s">
        <v>59</v>
      </c>
      <c r="B18" s="54">
        <v>0.55000000000000004</v>
      </c>
      <c r="C18" s="54">
        <v>0.45</v>
      </c>
    </row>
    <row r="19" spans="1:3" ht="16" thickBot="1" x14ac:dyDescent="0.4">
      <c r="A19" s="53" t="s">
        <v>61</v>
      </c>
      <c r="B19" s="54">
        <v>0.5</v>
      </c>
      <c r="C19" s="54">
        <v>0.5</v>
      </c>
    </row>
    <row r="20" spans="1:3" ht="16" thickBot="1" x14ac:dyDescent="0.4">
      <c r="A20" s="53" t="s">
        <v>62</v>
      </c>
      <c r="B20" s="54">
        <v>0.7</v>
      </c>
      <c r="C20" s="54">
        <v>0.3</v>
      </c>
    </row>
    <row r="21" spans="1:3" ht="16" thickBot="1" x14ac:dyDescent="0.4">
      <c r="A21" s="53" t="s">
        <v>63</v>
      </c>
      <c r="B21" s="54">
        <v>0.8</v>
      </c>
      <c r="C21" s="54">
        <v>0.2</v>
      </c>
    </row>
    <row r="22" spans="1:3" ht="16" thickBot="1" x14ac:dyDescent="0.4">
      <c r="A22" s="53" t="s">
        <v>64</v>
      </c>
      <c r="B22" s="54">
        <v>0.35</v>
      </c>
      <c r="C22" s="54">
        <v>0.65</v>
      </c>
    </row>
    <row r="23" spans="1:3" ht="16" thickBot="1" x14ac:dyDescent="0.4">
      <c r="A23" s="53" t="s">
        <v>67</v>
      </c>
      <c r="B23" s="54">
        <v>0.5</v>
      </c>
      <c r="C23" s="54">
        <v>0.5</v>
      </c>
    </row>
    <row r="24" spans="1:3" ht="16" thickBot="1" x14ac:dyDescent="0.4">
      <c r="A24" s="53" t="s">
        <v>69</v>
      </c>
      <c r="B24" s="54">
        <v>0</v>
      </c>
      <c r="C24" s="54">
        <v>1</v>
      </c>
    </row>
    <row r="25" spans="1:3" ht="16" thickBot="1" x14ac:dyDescent="0.4">
      <c r="A25" s="53" t="s">
        <v>70</v>
      </c>
      <c r="B25" s="54">
        <v>0.9</v>
      </c>
      <c r="C25" s="54">
        <v>0.1</v>
      </c>
    </row>
    <row r="26" spans="1:3" ht="16" thickBot="1" x14ac:dyDescent="0.4">
      <c r="A26" s="53" t="s">
        <v>71</v>
      </c>
      <c r="B26" s="54">
        <v>0.5</v>
      </c>
      <c r="C26" s="54">
        <v>0.5</v>
      </c>
    </row>
    <row r="27" spans="1:3" ht="16" thickBot="1" x14ac:dyDescent="0.4">
      <c r="A27" s="53" t="s">
        <v>72</v>
      </c>
      <c r="B27" s="54">
        <v>0.2</v>
      </c>
      <c r="C27" s="54">
        <v>0.8</v>
      </c>
    </row>
    <row r="28" spans="1:3" ht="16" thickBot="1" x14ac:dyDescent="0.4">
      <c r="A28" s="53" t="s">
        <v>74</v>
      </c>
      <c r="B28" s="54">
        <v>0.9</v>
      </c>
      <c r="C28" s="54">
        <v>0.1</v>
      </c>
    </row>
    <row r="29" spans="1:3" ht="15.5" x14ac:dyDescent="0.35">
      <c r="A29" s="48"/>
    </row>
  </sheetData>
  <mergeCells count="1">
    <mergeCell ref="B16:C1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CA0AE-DD76-4856-9B06-290D5F3EEBFE}">
  <dimension ref="A1:J20"/>
  <sheetViews>
    <sheetView workbookViewId="0">
      <selection activeCell="F3" sqref="F3"/>
    </sheetView>
  </sheetViews>
  <sheetFormatPr defaultRowHeight="14.5" x14ac:dyDescent="0.35"/>
  <cols>
    <col min="1" max="1" width="14.453125" bestFit="1" customWidth="1"/>
    <col min="2" max="2" width="16.36328125" customWidth="1"/>
    <col min="3" max="3" width="16.36328125" hidden="1" customWidth="1"/>
    <col min="4" max="4" width="33.54296875" hidden="1" customWidth="1"/>
    <col min="5" max="5" width="20" customWidth="1"/>
    <col min="6" max="6" width="19.7265625" bestFit="1" customWidth="1"/>
    <col min="7" max="7" width="11.90625" bestFit="1" customWidth="1"/>
    <col min="8" max="8" width="6" bestFit="1" customWidth="1"/>
    <col min="10" max="10" width="24" bestFit="1" customWidth="1"/>
  </cols>
  <sheetData>
    <row r="1" spans="1:10" ht="16" thickBot="1" x14ac:dyDescent="0.4">
      <c r="A1" s="48"/>
    </row>
    <row r="2" spans="1:10" ht="16" thickBot="1" x14ac:dyDescent="0.4">
      <c r="A2" s="59" t="s">
        <v>133</v>
      </c>
      <c r="B2" s="60" t="s">
        <v>38</v>
      </c>
      <c r="C2" s="60" t="s">
        <v>122</v>
      </c>
      <c r="D2" s="60" t="s">
        <v>137</v>
      </c>
      <c r="E2" s="60" t="s">
        <v>104</v>
      </c>
      <c r="F2" s="60" t="s">
        <v>134</v>
      </c>
      <c r="G2" s="60" t="s">
        <v>40</v>
      </c>
      <c r="H2" s="60" t="s">
        <v>3</v>
      </c>
      <c r="I2" s="60" t="s">
        <v>41</v>
      </c>
      <c r="J2" s="60" t="s">
        <v>42</v>
      </c>
    </row>
    <row r="3" spans="1:10" ht="15" thickBot="1" x14ac:dyDescent="0.4">
      <c r="A3" s="8" t="s">
        <v>135</v>
      </c>
      <c r="B3" s="6" t="s">
        <v>109</v>
      </c>
      <c r="C3" s="6" t="str" cm="1">
        <f t="array" ref="C3:C8">_xlfn.XLOOKUP(F3:F8,tenure!B3:B216,tenure!D3:D216)</f>
        <v>Yes</v>
      </c>
      <c r="D3" s="6" t="str" cm="1">
        <f t="array" ref="D3:D8">_xlfn.XLOOKUP(F3:F8,tenure!B3:B216,tenure!E3:E216)</f>
        <v>3% to be borne by Realme, rest by customer</v>
      </c>
      <c r="E3" s="6" t="s">
        <v>47</v>
      </c>
      <c r="F3" s="14">
        <v>6941764433496</v>
      </c>
      <c r="G3" s="6">
        <v>33999</v>
      </c>
      <c r="H3" s="6">
        <v>35999</v>
      </c>
      <c r="I3" s="61">
        <v>2000</v>
      </c>
      <c r="J3" s="6" t="s">
        <v>121</v>
      </c>
    </row>
    <row r="4" spans="1:10" ht="15" thickBot="1" x14ac:dyDescent="0.4">
      <c r="A4" s="8" t="s">
        <v>135</v>
      </c>
      <c r="B4" s="6" t="s">
        <v>109</v>
      </c>
      <c r="C4" s="6" t="str">
        <v>Yes</v>
      </c>
      <c r="D4" s="6" t="str">
        <v>3% to be borne by Realme, rest by customer</v>
      </c>
      <c r="E4" s="6" t="s">
        <v>47</v>
      </c>
      <c r="F4" s="14">
        <v>6941764438699</v>
      </c>
      <c r="G4" s="6">
        <v>33999</v>
      </c>
      <c r="H4" s="6">
        <v>35999</v>
      </c>
      <c r="I4" s="61">
        <v>2000</v>
      </c>
      <c r="J4" s="6" t="s">
        <v>121</v>
      </c>
    </row>
    <row r="5" spans="1:10" ht="15" thickBot="1" x14ac:dyDescent="0.4">
      <c r="A5" s="8" t="s">
        <v>135</v>
      </c>
      <c r="B5" s="6" t="s">
        <v>109</v>
      </c>
      <c r="C5" s="6" t="str">
        <v>Yes</v>
      </c>
      <c r="D5" s="6" t="str">
        <v>3% to be borne by Realme, rest by customer</v>
      </c>
      <c r="E5" s="6" t="s">
        <v>49</v>
      </c>
      <c r="F5" s="14">
        <v>6941764435735</v>
      </c>
      <c r="G5" s="6">
        <v>35999</v>
      </c>
      <c r="H5" s="6">
        <v>37999</v>
      </c>
      <c r="I5" s="61">
        <v>2000</v>
      </c>
      <c r="J5" s="6" t="s">
        <v>121</v>
      </c>
    </row>
    <row r="6" spans="1:10" ht="15" thickBot="1" x14ac:dyDescent="0.4">
      <c r="A6" s="8" t="s">
        <v>135</v>
      </c>
      <c r="B6" s="6" t="s">
        <v>109</v>
      </c>
      <c r="C6" s="6" t="str">
        <v>Yes</v>
      </c>
      <c r="D6" s="6" t="str">
        <v>3% to be borne by Realme, rest by customer</v>
      </c>
      <c r="E6" s="6" t="s">
        <v>49</v>
      </c>
      <c r="F6" s="14">
        <v>6941764435704</v>
      </c>
      <c r="G6" s="6">
        <v>35999</v>
      </c>
      <c r="H6" s="6">
        <v>37999</v>
      </c>
      <c r="I6" s="61">
        <v>2000</v>
      </c>
      <c r="J6" s="6" t="s">
        <v>121</v>
      </c>
    </row>
    <row r="7" spans="1:10" ht="15" thickBot="1" x14ac:dyDescent="0.4">
      <c r="A7" s="8" t="s">
        <v>135</v>
      </c>
      <c r="B7" s="6" t="s">
        <v>109</v>
      </c>
      <c r="C7" s="6" t="str">
        <v>Yes</v>
      </c>
      <c r="D7" s="6" t="str">
        <v>3% to be borne by Realme, rest by customer</v>
      </c>
      <c r="E7" s="6" t="s">
        <v>55</v>
      </c>
      <c r="F7" s="14">
        <v>6941764435742</v>
      </c>
      <c r="G7" s="6">
        <v>37999</v>
      </c>
      <c r="H7" s="6">
        <v>39999</v>
      </c>
      <c r="I7" s="61">
        <v>2000</v>
      </c>
      <c r="J7" s="6" t="s">
        <v>121</v>
      </c>
    </row>
    <row r="8" spans="1:10" ht="15" thickBot="1" x14ac:dyDescent="0.4">
      <c r="A8" s="8" t="s">
        <v>135</v>
      </c>
      <c r="B8" s="6" t="s">
        <v>109</v>
      </c>
      <c r="C8" s="6" t="str">
        <v>Yes</v>
      </c>
      <c r="D8" s="6" t="str">
        <v>3% to be borne by Realme, rest by customer</v>
      </c>
      <c r="E8" s="6" t="s">
        <v>55</v>
      </c>
      <c r="F8" s="14">
        <v>6941764435711</v>
      </c>
      <c r="G8" s="6">
        <v>37999</v>
      </c>
      <c r="H8" s="6">
        <v>39999</v>
      </c>
      <c r="I8" s="61">
        <v>2000</v>
      </c>
      <c r="J8" s="6" t="s">
        <v>121</v>
      </c>
    </row>
    <row r="9" spans="1:10" ht="15.5" x14ac:dyDescent="0.35">
      <c r="A9" s="48"/>
    </row>
    <row r="12" spans="1:10" ht="15" thickBot="1" x14ac:dyDescent="0.4"/>
    <row r="13" spans="1:10" x14ac:dyDescent="0.35">
      <c r="A13" s="114"/>
      <c r="B13" s="115"/>
      <c r="C13" s="63"/>
      <c r="D13" s="63"/>
      <c r="E13" s="58"/>
    </row>
    <row r="14" spans="1:10" ht="16" thickBot="1" x14ac:dyDescent="0.4">
      <c r="A14" s="116" t="s">
        <v>41</v>
      </c>
      <c r="B14" s="117"/>
      <c r="C14" s="64"/>
      <c r="D14" s="64"/>
      <c r="E14" s="58"/>
    </row>
    <row r="15" spans="1:10" ht="16" thickBot="1" x14ac:dyDescent="0.4">
      <c r="A15" s="52" t="s">
        <v>56</v>
      </c>
      <c r="B15" s="39" t="s">
        <v>57</v>
      </c>
      <c r="C15" s="39"/>
      <c r="D15" s="39"/>
      <c r="E15" s="39" t="s">
        <v>418</v>
      </c>
    </row>
    <row r="16" spans="1:10" ht="16" thickBot="1" x14ac:dyDescent="0.4">
      <c r="A16" s="53" t="s">
        <v>61</v>
      </c>
      <c r="B16" s="54">
        <v>0.5</v>
      </c>
      <c r="C16" s="54"/>
      <c r="D16" s="54"/>
      <c r="E16" s="54">
        <v>0.5</v>
      </c>
    </row>
    <row r="17" spans="1:5" ht="16" thickBot="1" x14ac:dyDescent="0.4">
      <c r="A17" s="53" t="s">
        <v>62</v>
      </c>
      <c r="B17" s="54">
        <v>0.7</v>
      </c>
      <c r="C17" s="54"/>
      <c r="D17" s="54"/>
      <c r="E17" s="54">
        <v>0.3</v>
      </c>
    </row>
    <row r="18" spans="1:5" ht="16" thickBot="1" x14ac:dyDescent="0.4">
      <c r="A18" s="53" t="s">
        <v>67</v>
      </c>
      <c r="B18" s="54">
        <v>0.5</v>
      </c>
      <c r="C18" s="54"/>
      <c r="D18" s="54"/>
      <c r="E18" s="54">
        <v>0.5</v>
      </c>
    </row>
    <row r="19" spans="1:5" ht="16" thickBot="1" x14ac:dyDescent="0.4">
      <c r="A19" s="53" t="s">
        <v>69</v>
      </c>
      <c r="B19" s="54">
        <v>0</v>
      </c>
      <c r="C19" s="54"/>
      <c r="D19" s="54"/>
      <c r="E19" s="54">
        <v>1</v>
      </c>
    </row>
    <row r="20" spans="1:5" ht="16" thickBot="1" x14ac:dyDescent="0.4">
      <c r="A20" s="53" t="s">
        <v>72</v>
      </c>
      <c r="B20" s="54">
        <v>0.2</v>
      </c>
      <c r="C20" s="54"/>
      <c r="D20" s="54"/>
      <c r="E20" s="54">
        <v>0.8</v>
      </c>
    </row>
  </sheetData>
  <mergeCells count="2">
    <mergeCell ref="A13:B13"/>
    <mergeCell ref="A14:B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6F75F-AFCC-4828-9311-4A3E834132B7}">
  <dimension ref="A1:J33"/>
  <sheetViews>
    <sheetView workbookViewId="0">
      <selection activeCell="H33" sqref="H33"/>
    </sheetView>
  </sheetViews>
  <sheetFormatPr defaultRowHeight="14.5" x14ac:dyDescent="0.35"/>
  <cols>
    <col min="1" max="1" width="14.54296875" bestFit="1" customWidth="1"/>
    <col min="2" max="2" width="6.7265625" bestFit="1" customWidth="1"/>
    <col min="3" max="3" width="6.36328125" bestFit="1" customWidth="1"/>
    <col min="4" max="4" width="15" bestFit="1" customWidth="1"/>
    <col min="5" max="5" width="7.90625" bestFit="1" customWidth="1"/>
    <col min="6" max="6" width="5.36328125" bestFit="1" customWidth="1"/>
    <col min="7" max="7" width="5.90625" bestFit="1" customWidth="1"/>
    <col min="8" max="8" width="40.6328125" bestFit="1" customWidth="1"/>
    <col min="9" max="9" width="8" bestFit="1" customWidth="1"/>
    <col min="10" max="10" width="27.453125" bestFit="1" customWidth="1"/>
  </cols>
  <sheetData>
    <row r="1" spans="1:10" ht="16" thickBot="1" x14ac:dyDescent="0.4">
      <c r="A1" s="48"/>
    </row>
    <row r="2" spans="1:10" ht="15" thickBot="1" x14ac:dyDescent="0.4">
      <c r="A2" s="15" t="s">
        <v>103</v>
      </c>
      <c r="B2" s="16" t="s">
        <v>38</v>
      </c>
      <c r="C2" s="16" t="s">
        <v>104</v>
      </c>
      <c r="D2" s="16" t="s">
        <v>2</v>
      </c>
      <c r="E2" s="16" t="s">
        <v>40</v>
      </c>
      <c r="F2" s="16" t="s">
        <v>3</v>
      </c>
      <c r="G2" s="16" t="s">
        <v>41</v>
      </c>
      <c r="H2" s="16" t="s">
        <v>42</v>
      </c>
      <c r="I2" s="16" t="s">
        <v>43</v>
      </c>
      <c r="J2" s="16" t="s">
        <v>42</v>
      </c>
    </row>
    <row r="3" spans="1:10" ht="15" thickBot="1" x14ac:dyDescent="0.4">
      <c r="A3" s="42" t="s">
        <v>128</v>
      </c>
      <c r="B3" s="6" t="s">
        <v>106</v>
      </c>
      <c r="C3" s="6" t="s">
        <v>52</v>
      </c>
      <c r="D3" s="14">
        <v>6941764447462</v>
      </c>
      <c r="E3" s="6">
        <v>13999</v>
      </c>
      <c r="F3" s="6">
        <v>14999</v>
      </c>
      <c r="G3" s="6">
        <v>1000</v>
      </c>
      <c r="H3" s="6" t="s">
        <v>127</v>
      </c>
      <c r="I3" s="6" t="s">
        <v>53</v>
      </c>
      <c r="J3" s="6" t="s">
        <v>53</v>
      </c>
    </row>
    <row r="4" spans="1:10" ht="15" thickBot="1" x14ac:dyDescent="0.4">
      <c r="A4" s="42" t="s">
        <v>128</v>
      </c>
      <c r="B4" s="6" t="s">
        <v>106</v>
      </c>
      <c r="C4" s="6" t="s">
        <v>52</v>
      </c>
      <c r="D4" s="14">
        <v>6941764429642</v>
      </c>
      <c r="E4" s="6">
        <v>13999</v>
      </c>
      <c r="F4" s="6">
        <v>14999</v>
      </c>
      <c r="G4" s="6">
        <v>1000</v>
      </c>
      <c r="H4" s="6" t="s">
        <v>127</v>
      </c>
      <c r="I4" s="6" t="s">
        <v>53</v>
      </c>
      <c r="J4" s="6" t="s">
        <v>53</v>
      </c>
    </row>
    <row r="5" spans="1:10" ht="15" thickBot="1" x14ac:dyDescent="0.4">
      <c r="A5" s="42" t="s">
        <v>128</v>
      </c>
      <c r="B5" s="6" t="s">
        <v>106</v>
      </c>
      <c r="C5" s="6" t="s">
        <v>52</v>
      </c>
      <c r="D5" s="14">
        <v>6941764429598</v>
      </c>
      <c r="E5" s="6">
        <v>13999</v>
      </c>
      <c r="F5" s="6">
        <v>14999</v>
      </c>
      <c r="G5" s="6">
        <v>1000</v>
      </c>
      <c r="H5" s="6" t="s">
        <v>127</v>
      </c>
      <c r="I5" s="6" t="s">
        <v>53</v>
      </c>
      <c r="J5" s="6" t="s">
        <v>53</v>
      </c>
    </row>
    <row r="6" spans="1:10" ht="15" thickBot="1" x14ac:dyDescent="0.4">
      <c r="A6" s="42" t="s">
        <v>128</v>
      </c>
      <c r="B6" s="6" t="s">
        <v>106</v>
      </c>
      <c r="C6" s="6" t="s">
        <v>45</v>
      </c>
      <c r="D6" s="14">
        <v>6941764447479</v>
      </c>
      <c r="E6" s="6">
        <v>14999</v>
      </c>
      <c r="F6" s="6">
        <v>15999</v>
      </c>
      <c r="G6" s="6">
        <v>1000</v>
      </c>
      <c r="H6" s="6" t="s">
        <v>127</v>
      </c>
      <c r="I6" s="6" t="s">
        <v>53</v>
      </c>
      <c r="J6" s="6" t="s">
        <v>53</v>
      </c>
    </row>
    <row r="7" spans="1:10" ht="15" thickBot="1" x14ac:dyDescent="0.4">
      <c r="A7" s="42" t="s">
        <v>128</v>
      </c>
      <c r="B7" s="6" t="s">
        <v>106</v>
      </c>
      <c r="C7" s="6" t="s">
        <v>45</v>
      </c>
      <c r="D7" s="14">
        <v>6941764429628</v>
      </c>
      <c r="E7" s="6">
        <v>14999</v>
      </c>
      <c r="F7" s="6">
        <v>15999</v>
      </c>
      <c r="G7" s="6">
        <v>1000</v>
      </c>
      <c r="H7" s="6" t="s">
        <v>127</v>
      </c>
      <c r="I7" s="6" t="s">
        <v>53</v>
      </c>
      <c r="J7" s="6" t="s">
        <v>53</v>
      </c>
    </row>
    <row r="8" spans="1:10" ht="15" thickBot="1" x14ac:dyDescent="0.4">
      <c r="A8" s="42" t="s">
        <v>128</v>
      </c>
      <c r="B8" s="6" t="s">
        <v>106</v>
      </c>
      <c r="C8" s="6" t="s">
        <v>45</v>
      </c>
      <c r="D8" s="14">
        <v>6941764429604</v>
      </c>
      <c r="E8" s="6">
        <v>14999</v>
      </c>
      <c r="F8" s="6">
        <v>15999</v>
      </c>
      <c r="G8" s="6">
        <v>1000</v>
      </c>
      <c r="H8" s="6" t="s">
        <v>127</v>
      </c>
      <c r="I8" s="6" t="s">
        <v>53</v>
      </c>
      <c r="J8" s="6" t="s">
        <v>53</v>
      </c>
    </row>
    <row r="9" spans="1:10" ht="15" thickBot="1" x14ac:dyDescent="0.4">
      <c r="A9" s="42" t="s">
        <v>128</v>
      </c>
      <c r="B9" s="6" t="s">
        <v>107</v>
      </c>
      <c r="C9" s="6" t="s">
        <v>45</v>
      </c>
      <c r="D9" s="14">
        <v>6941764446564</v>
      </c>
      <c r="E9" s="6">
        <v>19999</v>
      </c>
      <c r="F9" s="6">
        <v>21999</v>
      </c>
      <c r="G9" s="6">
        <v>3000</v>
      </c>
      <c r="H9" s="6" t="s">
        <v>127</v>
      </c>
      <c r="I9" s="6" t="s">
        <v>53</v>
      </c>
      <c r="J9" s="6" t="s">
        <v>53</v>
      </c>
    </row>
    <row r="10" spans="1:10" ht="15" thickBot="1" x14ac:dyDescent="0.4">
      <c r="A10" s="42" t="s">
        <v>128</v>
      </c>
      <c r="B10" s="6" t="s">
        <v>107</v>
      </c>
      <c r="C10" s="6" t="s">
        <v>45</v>
      </c>
      <c r="D10" s="14">
        <v>6941764446526</v>
      </c>
      <c r="E10" s="6">
        <v>19999</v>
      </c>
      <c r="F10" s="6">
        <v>21999</v>
      </c>
      <c r="G10" s="6">
        <v>3000</v>
      </c>
      <c r="H10" s="6" t="s">
        <v>127</v>
      </c>
      <c r="I10" s="6" t="s">
        <v>53</v>
      </c>
      <c r="J10" s="6" t="s">
        <v>53</v>
      </c>
    </row>
    <row r="11" spans="1:10" ht="15" thickBot="1" x14ac:dyDescent="0.4">
      <c r="A11" s="42" t="s">
        <v>128</v>
      </c>
      <c r="B11" s="6" t="s">
        <v>107</v>
      </c>
      <c r="C11" s="6" t="s">
        <v>49</v>
      </c>
      <c r="D11" s="14">
        <v>6941764446588</v>
      </c>
      <c r="E11" s="6">
        <v>22999</v>
      </c>
      <c r="F11" s="6">
        <v>24999</v>
      </c>
      <c r="G11" s="6">
        <v>4000</v>
      </c>
      <c r="H11" s="6" t="s">
        <v>127</v>
      </c>
      <c r="I11" s="6" t="s">
        <v>53</v>
      </c>
      <c r="J11" s="6" t="s">
        <v>53</v>
      </c>
    </row>
    <row r="12" spans="1:10" ht="15" thickBot="1" x14ac:dyDescent="0.4">
      <c r="A12" s="42" t="s">
        <v>128</v>
      </c>
      <c r="B12" s="6" t="s">
        <v>107</v>
      </c>
      <c r="C12" s="6" t="s">
        <v>49</v>
      </c>
      <c r="D12" s="14">
        <v>6941764446540</v>
      </c>
      <c r="E12" s="6">
        <v>22999</v>
      </c>
      <c r="F12" s="6">
        <v>24999</v>
      </c>
      <c r="G12" s="6">
        <v>4000</v>
      </c>
      <c r="H12" s="6" t="s">
        <v>127</v>
      </c>
      <c r="I12" s="6" t="s">
        <v>53</v>
      </c>
      <c r="J12" s="6" t="s">
        <v>53</v>
      </c>
    </row>
    <row r="13" spans="1:10" ht="15" thickBot="1" x14ac:dyDescent="0.4">
      <c r="A13" s="42" t="s">
        <v>128</v>
      </c>
      <c r="B13" s="6" t="s">
        <v>107</v>
      </c>
      <c r="C13" s="6" t="s">
        <v>50</v>
      </c>
      <c r="D13" s="14">
        <v>6941764446595</v>
      </c>
      <c r="E13" s="6">
        <v>25999</v>
      </c>
      <c r="F13" s="6">
        <v>27999</v>
      </c>
      <c r="G13" s="6">
        <v>4000</v>
      </c>
      <c r="H13" s="6" t="s">
        <v>127</v>
      </c>
      <c r="I13" s="6" t="s">
        <v>53</v>
      </c>
      <c r="J13" s="6" t="s">
        <v>53</v>
      </c>
    </row>
    <row r="14" spans="1:10" ht="15" thickBot="1" x14ac:dyDescent="0.4">
      <c r="A14" s="42" t="s">
        <v>128</v>
      </c>
      <c r="B14" s="6" t="s">
        <v>107</v>
      </c>
      <c r="C14" s="6" t="s">
        <v>50</v>
      </c>
      <c r="D14" s="14">
        <v>6941764446557</v>
      </c>
      <c r="E14" s="6">
        <v>25999</v>
      </c>
      <c r="F14" s="6">
        <v>27999</v>
      </c>
      <c r="G14" s="6">
        <v>4000</v>
      </c>
      <c r="H14" s="6" t="s">
        <v>127</v>
      </c>
      <c r="I14" s="6" t="s">
        <v>53</v>
      </c>
      <c r="J14" s="6" t="s">
        <v>53</v>
      </c>
    </row>
    <row r="15" spans="1:10" ht="15" thickBot="1" x14ac:dyDescent="0.4">
      <c r="A15" s="43" t="s">
        <v>128</v>
      </c>
      <c r="B15" s="6" t="s">
        <v>108</v>
      </c>
      <c r="C15" s="6" t="s">
        <v>45</v>
      </c>
      <c r="D15" s="14">
        <v>6941764458864</v>
      </c>
      <c r="E15" s="6">
        <v>24999</v>
      </c>
      <c r="F15" s="6">
        <v>26999</v>
      </c>
      <c r="G15" s="6">
        <v>3000</v>
      </c>
      <c r="H15" s="6" t="s">
        <v>129</v>
      </c>
      <c r="I15" s="6">
        <v>3000</v>
      </c>
      <c r="J15" s="6" t="s">
        <v>130</v>
      </c>
    </row>
    <row r="16" spans="1:10" ht="15" thickBot="1" x14ac:dyDescent="0.4">
      <c r="A16" s="43" t="s">
        <v>128</v>
      </c>
      <c r="B16" s="6" t="s">
        <v>108</v>
      </c>
      <c r="C16" s="6" t="s">
        <v>45</v>
      </c>
      <c r="D16" s="14">
        <v>6941764458871</v>
      </c>
      <c r="E16" s="6">
        <v>24999</v>
      </c>
      <c r="F16" s="6">
        <v>26999</v>
      </c>
      <c r="G16" s="6">
        <v>3000</v>
      </c>
      <c r="H16" s="6" t="s">
        <v>129</v>
      </c>
      <c r="I16" s="6">
        <v>3000</v>
      </c>
      <c r="J16" s="6" t="s">
        <v>130</v>
      </c>
    </row>
    <row r="17" spans="1:10" ht="15" thickBot="1" x14ac:dyDescent="0.4">
      <c r="A17" s="43" t="s">
        <v>128</v>
      </c>
      <c r="B17" s="6" t="s">
        <v>108</v>
      </c>
      <c r="C17" s="6" t="s">
        <v>45</v>
      </c>
      <c r="D17" s="14">
        <v>6941764458888</v>
      </c>
      <c r="E17" s="6">
        <v>24999</v>
      </c>
      <c r="F17" s="6">
        <v>26999</v>
      </c>
      <c r="G17" s="6">
        <v>3000</v>
      </c>
      <c r="H17" s="6" t="s">
        <v>129</v>
      </c>
      <c r="I17" s="6">
        <v>3000</v>
      </c>
      <c r="J17" s="6" t="s">
        <v>130</v>
      </c>
    </row>
    <row r="18" spans="1:10" ht="15" thickBot="1" x14ac:dyDescent="0.4">
      <c r="A18" s="43" t="s">
        <v>128</v>
      </c>
      <c r="B18" s="6" t="s">
        <v>108</v>
      </c>
      <c r="C18" s="6" t="s">
        <v>47</v>
      </c>
      <c r="D18" s="14">
        <v>6941764458895</v>
      </c>
      <c r="E18" s="6">
        <v>25999</v>
      </c>
      <c r="F18" s="6">
        <v>27999</v>
      </c>
      <c r="G18" s="6">
        <v>3000</v>
      </c>
      <c r="H18" s="6" t="s">
        <v>129</v>
      </c>
      <c r="I18" s="6">
        <v>3000</v>
      </c>
      <c r="J18" s="6" t="s">
        <v>130</v>
      </c>
    </row>
    <row r="19" spans="1:10" ht="15" thickBot="1" x14ac:dyDescent="0.4">
      <c r="A19" s="43" t="s">
        <v>128</v>
      </c>
      <c r="B19" s="6" t="s">
        <v>108</v>
      </c>
      <c r="C19" s="6" t="s">
        <v>47</v>
      </c>
      <c r="D19" s="14">
        <v>6941764458901</v>
      </c>
      <c r="E19" s="6">
        <v>25999</v>
      </c>
      <c r="F19" s="6">
        <v>27999</v>
      </c>
      <c r="G19" s="6">
        <v>3000</v>
      </c>
      <c r="H19" s="6" t="s">
        <v>129</v>
      </c>
      <c r="I19" s="6">
        <v>3000</v>
      </c>
      <c r="J19" s="6" t="s">
        <v>130</v>
      </c>
    </row>
    <row r="20" spans="1:10" ht="15" thickBot="1" x14ac:dyDescent="0.4">
      <c r="A20" s="43" t="s">
        <v>128</v>
      </c>
      <c r="B20" s="6" t="s">
        <v>108</v>
      </c>
      <c r="C20" s="6" t="s">
        <v>47</v>
      </c>
      <c r="D20" s="14">
        <v>6941764458918</v>
      </c>
      <c r="E20" s="6">
        <v>25999</v>
      </c>
      <c r="F20" s="6">
        <v>27999</v>
      </c>
      <c r="G20" s="6">
        <v>3000</v>
      </c>
      <c r="H20" s="6" t="s">
        <v>129</v>
      </c>
      <c r="I20" s="6">
        <v>3000</v>
      </c>
      <c r="J20" s="6" t="s">
        <v>130</v>
      </c>
    </row>
    <row r="21" spans="1:10" ht="15" thickBot="1" x14ac:dyDescent="0.4">
      <c r="A21" s="43" t="s">
        <v>128</v>
      </c>
      <c r="B21" s="6" t="s">
        <v>108</v>
      </c>
      <c r="C21" s="6" t="s">
        <v>49</v>
      </c>
      <c r="D21" s="14">
        <v>6941764458925</v>
      </c>
      <c r="E21" s="6">
        <v>27999</v>
      </c>
      <c r="F21" s="6">
        <v>29999</v>
      </c>
      <c r="G21" s="6">
        <v>3000</v>
      </c>
      <c r="H21" s="6" t="s">
        <v>129</v>
      </c>
      <c r="I21" s="6">
        <v>3000</v>
      </c>
      <c r="J21" s="6" t="s">
        <v>130</v>
      </c>
    </row>
    <row r="22" spans="1:10" ht="15" thickBot="1" x14ac:dyDescent="0.4">
      <c r="A22" s="43" t="s">
        <v>128</v>
      </c>
      <c r="B22" s="6" t="s">
        <v>108</v>
      </c>
      <c r="C22" s="6" t="s">
        <v>49</v>
      </c>
      <c r="D22" s="14">
        <v>6941764458932</v>
      </c>
      <c r="E22" s="6">
        <v>27999</v>
      </c>
      <c r="F22" s="6">
        <v>29999</v>
      </c>
      <c r="G22" s="6">
        <v>3000</v>
      </c>
      <c r="H22" s="6" t="s">
        <v>129</v>
      </c>
      <c r="I22" s="6">
        <v>3000</v>
      </c>
      <c r="J22" s="6" t="s">
        <v>130</v>
      </c>
    </row>
    <row r="23" spans="1:10" ht="15" thickBot="1" x14ac:dyDescent="0.4">
      <c r="A23" s="43" t="s">
        <v>128</v>
      </c>
      <c r="B23" s="6" t="s">
        <v>108</v>
      </c>
      <c r="C23" s="6" t="s">
        <v>49</v>
      </c>
      <c r="D23" s="14">
        <v>6941764458949</v>
      </c>
      <c r="E23" s="6">
        <v>27999</v>
      </c>
      <c r="F23" s="6">
        <v>29999</v>
      </c>
      <c r="G23" s="6">
        <v>3000</v>
      </c>
      <c r="H23" s="6" t="s">
        <v>129</v>
      </c>
      <c r="I23" s="6">
        <v>3000</v>
      </c>
      <c r="J23" s="6" t="s">
        <v>130</v>
      </c>
    </row>
    <row r="24" spans="1:10" ht="15" thickBot="1" x14ac:dyDescent="0.4">
      <c r="A24" s="44" t="s">
        <v>128</v>
      </c>
      <c r="B24" s="6" t="s">
        <v>119</v>
      </c>
      <c r="C24" s="6" t="s">
        <v>45</v>
      </c>
      <c r="D24" s="14">
        <v>6941764458642</v>
      </c>
      <c r="E24" s="6">
        <v>21999</v>
      </c>
      <c r="F24" s="6">
        <v>23999</v>
      </c>
      <c r="G24" s="6">
        <v>2000</v>
      </c>
      <c r="H24" s="6" t="s">
        <v>131</v>
      </c>
      <c r="I24" s="6">
        <v>2000</v>
      </c>
      <c r="J24" s="6" t="s">
        <v>120</v>
      </c>
    </row>
    <row r="25" spans="1:10" ht="15" thickBot="1" x14ac:dyDescent="0.4">
      <c r="A25" s="44" t="s">
        <v>128</v>
      </c>
      <c r="B25" s="6" t="s">
        <v>119</v>
      </c>
      <c r="C25" s="6" t="s">
        <v>45</v>
      </c>
      <c r="D25" s="14">
        <v>6941764458659</v>
      </c>
      <c r="E25" s="6">
        <v>21999</v>
      </c>
      <c r="F25" s="6">
        <v>23999</v>
      </c>
      <c r="G25" s="6">
        <v>2000</v>
      </c>
      <c r="H25" s="6" t="s">
        <v>131</v>
      </c>
      <c r="I25" s="6">
        <v>2000</v>
      </c>
      <c r="J25" s="6" t="s">
        <v>120</v>
      </c>
    </row>
    <row r="26" spans="1:10" ht="15" thickBot="1" x14ac:dyDescent="0.4">
      <c r="A26" s="44" t="s">
        <v>128</v>
      </c>
      <c r="B26" s="6" t="s">
        <v>119</v>
      </c>
      <c r="C26" s="6" t="s">
        <v>45</v>
      </c>
      <c r="D26" s="14">
        <v>6941764458666</v>
      </c>
      <c r="E26" s="6">
        <v>21999</v>
      </c>
      <c r="F26" s="6">
        <v>23999</v>
      </c>
      <c r="G26" s="6">
        <v>2000</v>
      </c>
      <c r="H26" s="6" t="s">
        <v>131</v>
      </c>
      <c r="I26" s="6">
        <v>2000</v>
      </c>
      <c r="J26" s="6" t="s">
        <v>120</v>
      </c>
    </row>
    <row r="27" spans="1:10" ht="15" thickBot="1" x14ac:dyDescent="0.4">
      <c r="A27" s="44" t="s">
        <v>128</v>
      </c>
      <c r="B27" s="6" t="s">
        <v>119</v>
      </c>
      <c r="C27" s="6" t="s">
        <v>47</v>
      </c>
      <c r="D27" s="14">
        <v>6941764458673</v>
      </c>
      <c r="E27" s="6">
        <v>22999</v>
      </c>
      <c r="F27" s="6">
        <v>24999</v>
      </c>
      <c r="G27" s="6">
        <v>2000</v>
      </c>
      <c r="H27" s="6" t="s">
        <v>131</v>
      </c>
      <c r="I27" s="6">
        <v>2000</v>
      </c>
      <c r="J27" s="6" t="s">
        <v>120</v>
      </c>
    </row>
    <row r="28" spans="1:10" ht="15" thickBot="1" x14ac:dyDescent="0.4">
      <c r="A28" s="44" t="s">
        <v>128</v>
      </c>
      <c r="B28" s="6" t="s">
        <v>119</v>
      </c>
      <c r="C28" s="6" t="s">
        <v>47</v>
      </c>
      <c r="D28" s="14">
        <v>6941764458680</v>
      </c>
      <c r="E28" s="6">
        <v>22999</v>
      </c>
      <c r="F28" s="6">
        <v>24999</v>
      </c>
      <c r="G28" s="6">
        <v>2000</v>
      </c>
      <c r="H28" s="6" t="s">
        <v>131</v>
      </c>
      <c r="I28" s="6">
        <v>2000</v>
      </c>
      <c r="J28" s="6" t="s">
        <v>120</v>
      </c>
    </row>
    <row r="29" spans="1:10" ht="15" thickBot="1" x14ac:dyDescent="0.4">
      <c r="A29" s="44" t="s">
        <v>128</v>
      </c>
      <c r="B29" s="6" t="s">
        <v>119</v>
      </c>
      <c r="C29" s="6" t="s">
        <v>47</v>
      </c>
      <c r="D29" s="14">
        <v>6941764458697</v>
      </c>
      <c r="E29" s="6">
        <v>22999</v>
      </c>
      <c r="F29" s="6">
        <v>24999</v>
      </c>
      <c r="G29" s="6">
        <v>2000</v>
      </c>
      <c r="H29" s="6" t="s">
        <v>131</v>
      </c>
      <c r="I29" s="6">
        <v>2000</v>
      </c>
      <c r="J29" s="6" t="s">
        <v>120</v>
      </c>
    </row>
    <row r="30" spans="1:10" ht="15" thickBot="1" x14ac:dyDescent="0.4">
      <c r="A30" s="44" t="s">
        <v>128</v>
      </c>
      <c r="B30" s="6" t="s">
        <v>119</v>
      </c>
      <c r="C30" s="6" t="s">
        <v>49</v>
      </c>
      <c r="D30" s="14">
        <v>6941764458703</v>
      </c>
      <c r="E30" s="6">
        <v>24999</v>
      </c>
      <c r="F30" s="6">
        <v>26999</v>
      </c>
      <c r="G30" s="6">
        <v>2000</v>
      </c>
      <c r="H30" s="6" t="s">
        <v>131</v>
      </c>
      <c r="I30" s="6">
        <v>2000</v>
      </c>
      <c r="J30" s="6" t="s">
        <v>120</v>
      </c>
    </row>
    <row r="31" spans="1:10" ht="15" thickBot="1" x14ac:dyDescent="0.4">
      <c r="A31" s="44" t="s">
        <v>128</v>
      </c>
      <c r="B31" s="6" t="s">
        <v>119</v>
      </c>
      <c r="C31" s="6" t="s">
        <v>49</v>
      </c>
      <c r="D31" s="14">
        <v>6941764458710</v>
      </c>
      <c r="E31" s="6">
        <v>24999</v>
      </c>
      <c r="F31" s="6">
        <v>26999</v>
      </c>
      <c r="G31" s="6">
        <v>2000</v>
      </c>
      <c r="H31" s="6" t="s">
        <v>131</v>
      </c>
      <c r="I31" s="6">
        <v>2000</v>
      </c>
      <c r="J31" s="6" t="s">
        <v>120</v>
      </c>
    </row>
    <row r="32" spans="1:10" ht="15" thickBot="1" x14ac:dyDescent="0.4">
      <c r="A32" s="44" t="s">
        <v>128</v>
      </c>
      <c r="B32" s="6" t="s">
        <v>119</v>
      </c>
      <c r="C32" s="6" t="s">
        <v>49</v>
      </c>
      <c r="D32" s="14">
        <v>6941764458727</v>
      </c>
      <c r="E32" s="6">
        <v>24999</v>
      </c>
      <c r="F32" s="6">
        <v>26999</v>
      </c>
      <c r="G32" s="6">
        <v>2000</v>
      </c>
      <c r="H32" s="6" t="s">
        <v>131</v>
      </c>
      <c r="I32" s="6">
        <v>2000</v>
      </c>
      <c r="J32" s="6" t="s">
        <v>120</v>
      </c>
    </row>
    <row r="33" spans="1:1" ht="15.5" x14ac:dyDescent="0.35">
      <c r="A33" s="4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117EB-10D1-46A6-B751-73B1C95E962C}">
  <dimension ref="A1:J20"/>
  <sheetViews>
    <sheetView workbookViewId="0">
      <selection activeCell="B18" sqref="B18"/>
    </sheetView>
  </sheetViews>
  <sheetFormatPr defaultRowHeight="14.5" x14ac:dyDescent="0.35"/>
  <cols>
    <col min="1" max="1" width="14.54296875" bestFit="1" customWidth="1"/>
    <col min="2" max="2" width="8.1796875" customWidth="1"/>
    <col min="3" max="3" width="9.08984375" customWidth="1"/>
    <col min="4" max="4" width="15" bestFit="1" customWidth="1"/>
    <col min="5" max="5" width="7.90625" bestFit="1" customWidth="1"/>
    <col min="6" max="6" width="5.36328125" bestFit="1" customWidth="1"/>
    <col min="7" max="7" width="5.90625" bestFit="1" customWidth="1"/>
    <col min="8" max="8" width="35.08984375" bestFit="1" customWidth="1"/>
    <col min="9" max="9" width="8" bestFit="1" customWidth="1"/>
    <col min="10" max="10" width="27.453125" bestFit="1" customWidth="1"/>
  </cols>
  <sheetData>
    <row r="1" spans="1:10" ht="15" thickBot="1" x14ac:dyDescent="0.4">
      <c r="A1" s="15" t="s">
        <v>103</v>
      </c>
      <c r="B1" s="16" t="s">
        <v>38</v>
      </c>
      <c r="C1" s="16" t="s">
        <v>104</v>
      </c>
      <c r="D1" s="16" t="s">
        <v>2</v>
      </c>
      <c r="E1" s="16" t="s">
        <v>40</v>
      </c>
      <c r="F1" s="16" t="s">
        <v>3</v>
      </c>
      <c r="G1" s="16" t="s">
        <v>41</v>
      </c>
      <c r="H1" s="16" t="s">
        <v>42</v>
      </c>
      <c r="I1" s="16" t="s">
        <v>43</v>
      </c>
      <c r="J1" s="16" t="s">
        <v>42</v>
      </c>
    </row>
    <row r="2" spans="1:10" ht="15" thickBot="1" x14ac:dyDescent="0.4">
      <c r="A2" s="43" t="s">
        <v>132</v>
      </c>
      <c r="B2" s="6" t="s">
        <v>108</v>
      </c>
      <c r="C2" s="6" t="s">
        <v>45</v>
      </c>
      <c r="D2" s="14">
        <v>6941764458864</v>
      </c>
      <c r="E2" s="6">
        <v>24999</v>
      </c>
      <c r="F2" s="6">
        <v>26999</v>
      </c>
      <c r="G2" s="6">
        <v>4000</v>
      </c>
      <c r="H2" s="6" t="s">
        <v>129</v>
      </c>
      <c r="I2" s="6">
        <v>4000</v>
      </c>
      <c r="J2" s="6" t="s">
        <v>130</v>
      </c>
    </row>
    <row r="3" spans="1:10" ht="15" thickBot="1" x14ac:dyDescent="0.4">
      <c r="A3" s="43" t="s">
        <v>132</v>
      </c>
      <c r="B3" s="6" t="s">
        <v>108</v>
      </c>
      <c r="C3" s="6" t="s">
        <v>45</v>
      </c>
      <c r="D3" s="14">
        <v>6941764458871</v>
      </c>
      <c r="E3" s="6">
        <v>24999</v>
      </c>
      <c r="F3" s="6">
        <v>26999</v>
      </c>
      <c r="G3" s="6">
        <v>4000</v>
      </c>
      <c r="H3" s="6" t="s">
        <v>129</v>
      </c>
      <c r="I3" s="6">
        <v>4000</v>
      </c>
      <c r="J3" s="6" t="s">
        <v>130</v>
      </c>
    </row>
    <row r="4" spans="1:10" ht="15" thickBot="1" x14ac:dyDescent="0.4">
      <c r="A4" s="43" t="s">
        <v>132</v>
      </c>
      <c r="B4" s="6" t="s">
        <v>108</v>
      </c>
      <c r="C4" s="6" t="s">
        <v>45</v>
      </c>
      <c r="D4" s="14">
        <v>6941764458888</v>
      </c>
      <c r="E4" s="6">
        <v>24999</v>
      </c>
      <c r="F4" s="6">
        <v>26999</v>
      </c>
      <c r="G4" s="6">
        <v>4000</v>
      </c>
      <c r="H4" s="6" t="s">
        <v>129</v>
      </c>
      <c r="I4" s="6">
        <v>4000</v>
      </c>
      <c r="J4" s="6" t="s">
        <v>130</v>
      </c>
    </row>
    <row r="5" spans="1:10" ht="15" thickBot="1" x14ac:dyDescent="0.4">
      <c r="A5" s="43" t="s">
        <v>132</v>
      </c>
      <c r="B5" s="6" t="s">
        <v>108</v>
      </c>
      <c r="C5" s="6" t="s">
        <v>47</v>
      </c>
      <c r="D5" s="14">
        <v>6941764458895</v>
      </c>
      <c r="E5" s="6">
        <v>25999</v>
      </c>
      <c r="F5" s="6">
        <v>27999</v>
      </c>
      <c r="G5" s="6">
        <v>4000</v>
      </c>
      <c r="H5" s="6" t="s">
        <v>129</v>
      </c>
      <c r="I5" s="6">
        <v>4000</v>
      </c>
      <c r="J5" s="6" t="s">
        <v>130</v>
      </c>
    </row>
    <row r="6" spans="1:10" ht="15" thickBot="1" x14ac:dyDescent="0.4">
      <c r="A6" s="43" t="s">
        <v>132</v>
      </c>
      <c r="B6" s="6" t="s">
        <v>108</v>
      </c>
      <c r="C6" s="6" t="s">
        <v>47</v>
      </c>
      <c r="D6" s="14">
        <v>6941764458901</v>
      </c>
      <c r="E6" s="6">
        <v>25999</v>
      </c>
      <c r="F6" s="6">
        <v>27999</v>
      </c>
      <c r="G6" s="6">
        <v>4000</v>
      </c>
      <c r="H6" s="6" t="s">
        <v>129</v>
      </c>
      <c r="I6" s="6">
        <v>4000</v>
      </c>
      <c r="J6" s="6" t="s">
        <v>130</v>
      </c>
    </row>
    <row r="7" spans="1:10" ht="15" thickBot="1" x14ac:dyDescent="0.4">
      <c r="A7" s="43" t="s">
        <v>132</v>
      </c>
      <c r="B7" s="6" t="s">
        <v>108</v>
      </c>
      <c r="C7" s="6" t="s">
        <v>47</v>
      </c>
      <c r="D7" s="14">
        <v>6941764458918</v>
      </c>
      <c r="E7" s="6">
        <v>25999</v>
      </c>
      <c r="F7" s="6">
        <v>27999</v>
      </c>
      <c r="G7" s="6">
        <v>4000</v>
      </c>
      <c r="H7" s="6" t="s">
        <v>129</v>
      </c>
      <c r="I7" s="6">
        <v>4000</v>
      </c>
      <c r="J7" s="6" t="s">
        <v>130</v>
      </c>
    </row>
    <row r="8" spans="1:10" ht="15" thickBot="1" x14ac:dyDescent="0.4">
      <c r="A8" s="43" t="s">
        <v>132</v>
      </c>
      <c r="B8" s="6" t="s">
        <v>108</v>
      </c>
      <c r="C8" s="6" t="s">
        <v>49</v>
      </c>
      <c r="D8" s="14">
        <v>6941764458925</v>
      </c>
      <c r="E8" s="6">
        <v>27999</v>
      </c>
      <c r="F8" s="6">
        <v>29999</v>
      </c>
      <c r="G8" s="6">
        <v>4000</v>
      </c>
      <c r="H8" s="6" t="s">
        <v>129</v>
      </c>
      <c r="I8" s="6">
        <v>4000</v>
      </c>
      <c r="J8" s="6" t="s">
        <v>130</v>
      </c>
    </row>
    <row r="9" spans="1:10" ht="15" thickBot="1" x14ac:dyDescent="0.4">
      <c r="A9" s="43" t="s">
        <v>132</v>
      </c>
      <c r="B9" s="6" t="s">
        <v>108</v>
      </c>
      <c r="C9" s="6" t="s">
        <v>49</v>
      </c>
      <c r="D9" s="14">
        <v>6941764458932</v>
      </c>
      <c r="E9" s="6">
        <v>27999</v>
      </c>
      <c r="F9" s="6">
        <v>29999</v>
      </c>
      <c r="G9" s="6">
        <v>4000</v>
      </c>
      <c r="H9" s="6" t="s">
        <v>129</v>
      </c>
      <c r="I9" s="6">
        <v>4000</v>
      </c>
      <c r="J9" s="6" t="s">
        <v>130</v>
      </c>
    </row>
    <row r="10" spans="1:10" ht="15" thickBot="1" x14ac:dyDescent="0.4">
      <c r="A10" s="43" t="s">
        <v>132</v>
      </c>
      <c r="B10" s="6" t="s">
        <v>108</v>
      </c>
      <c r="C10" s="6" t="s">
        <v>49</v>
      </c>
      <c r="D10" s="14">
        <v>6941764458949</v>
      </c>
      <c r="E10" s="6">
        <v>27999</v>
      </c>
      <c r="F10" s="6">
        <v>29999</v>
      </c>
      <c r="G10" s="6">
        <v>4000</v>
      </c>
      <c r="H10" s="6" t="s">
        <v>129</v>
      </c>
      <c r="I10" s="6">
        <v>4000</v>
      </c>
      <c r="J10" s="6" t="s">
        <v>130</v>
      </c>
    </row>
    <row r="11" spans="1:10" ht="15" thickBot="1" x14ac:dyDescent="0.4">
      <c r="A11" s="44" t="s">
        <v>132</v>
      </c>
      <c r="B11" s="6" t="s">
        <v>119</v>
      </c>
      <c r="C11" s="6" t="s">
        <v>45</v>
      </c>
      <c r="D11" s="14">
        <v>6941764458642</v>
      </c>
      <c r="E11" s="6">
        <v>21999</v>
      </c>
      <c r="F11" s="6">
        <v>23999</v>
      </c>
      <c r="G11" s="6">
        <v>3500</v>
      </c>
      <c r="H11" s="6" t="s">
        <v>131</v>
      </c>
      <c r="I11" s="6">
        <v>3500</v>
      </c>
      <c r="J11" s="6" t="s">
        <v>120</v>
      </c>
    </row>
    <row r="12" spans="1:10" ht="15" thickBot="1" x14ac:dyDescent="0.4">
      <c r="A12" s="44" t="s">
        <v>132</v>
      </c>
      <c r="B12" s="6" t="s">
        <v>119</v>
      </c>
      <c r="C12" s="6" t="s">
        <v>45</v>
      </c>
      <c r="D12" s="14">
        <v>6941764458659</v>
      </c>
      <c r="E12" s="6">
        <v>21999</v>
      </c>
      <c r="F12" s="6">
        <v>23999</v>
      </c>
      <c r="G12" s="6">
        <v>3500</v>
      </c>
      <c r="H12" s="6" t="s">
        <v>131</v>
      </c>
      <c r="I12" s="6">
        <v>3500</v>
      </c>
      <c r="J12" s="6" t="s">
        <v>120</v>
      </c>
    </row>
    <row r="13" spans="1:10" ht="15" thickBot="1" x14ac:dyDescent="0.4">
      <c r="A13" s="44" t="s">
        <v>132</v>
      </c>
      <c r="B13" s="6" t="s">
        <v>119</v>
      </c>
      <c r="C13" s="6" t="s">
        <v>45</v>
      </c>
      <c r="D13" s="14">
        <v>6941764458666</v>
      </c>
      <c r="E13" s="6">
        <v>21999</v>
      </c>
      <c r="F13" s="6">
        <v>23999</v>
      </c>
      <c r="G13" s="6">
        <v>3500</v>
      </c>
      <c r="H13" s="6" t="s">
        <v>131</v>
      </c>
      <c r="I13" s="6">
        <v>3500</v>
      </c>
      <c r="J13" s="6" t="s">
        <v>120</v>
      </c>
    </row>
    <row r="14" spans="1:10" ht="15" thickBot="1" x14ac:dyDescent="0.4">
      <c r="A14" s="44" t="s">
        <v>132</v>
      </c>
      <c r="B14" s="6" t="s">
        <v>119</v>
      </c>
      <c r="C14" s="6" t="s">
        <v>47</v>
      </c>
      <c r="D14" s="14">
        <v>6941764458673</v>
      </c>
      <c r="E14" s="6">
        <v>22999</v>
      </c>
      <c r="F14" s="6">
        <v>24999</v>
      </c>
      <c r="G14" s="6">
        <v>3500</v>
      </c>
      <c r="H14" s="6" t="s">
        <v>131</v>
      </c>
      <c r="I14" s="6">
        <v>3500</v>
      </c>
      <c r="J14" s="6" t="s">
        <v>120</v>
      </c>
    </row>
    <row r="15" spans="1:10" ht="15" thickBot="1" x14ac:dyDescent="0.4">
      <c r="A15" s="44" t="s">
        <v>132</v>
      </c>
      <c r="B15" s="6" t="s">
        <v>119</v>
      </c>
      <c r="C15" s="6" t="s">
        <v>47</v>
      </c>
      <c r="D15" s="14">
        <v>6941764458680</v>
      </c>
      <c r="E15" s="6">
        <v>22999</v>
      </c>
      <c r="F15" s="6">
        <v>24999</v>
      </c>
      <c r="G15" s="6">
        <v>3500</v>
      </c>
      <c r="H15" s="6" t="s">
        <v>131</v>
      </c>
      <c r="I15" s="6">
        <v>3500</v>
      </c>
      <c r="J15" s="6" t="s">
        <v>120</v>
      </c>
    </row>
    <row r="16" spans="1:10" ht="15" thickBot="1" x14ac:dyDescent="0.4">
      <c r="A16" s="44" t="s">
        <v>132</v>
      </c>
      <c r="B16" s="6" t="s">
        <v>119</v>
      </c>
      <c r="C16" s="6" t="s">
        <v>47</v>
      </c>
      <c r="D16" s="14">
        <v>6941764458697</v>
      </c>
      <c r="E16" s="6">
        <v>22999</v>
      </c>
      <c r="F16" s="6">
        <v>24999</v>
      </c>
      <c r="G16" s="6">
        <v>3500</v>
      </c>
      <c r="H16" s="6" t="s">
        <v>131</v>
      </c>
      <c r="I16" s="6">
        <v>3500</v>
      </c>
      <c r="J16" s="6" t="s">
        <v>120</v>
      </c>
    </row>
    <row r="17" spans="1:10" ht="15" thickBot="1" x14ac:dyDescent="0.4">
      <c r="A17" s="44" t="s">
        <v>132</v>
      </c>
      <c r="B17" s="6" t="s">
        <v>119</v>
      </c>
      <c r="C17" s="6" t="s">
        <v>49</v>
      </c>
      <c r="D17" s="14">
        <v>6941764458703</v>
      </c>
      <c r="E17" s="6">
        <v>24999</v>
      </c>
      <c r="F17" s="6">
        <v>26999</v>
      </c>
      <c r="G17" s="6">
        <v>4500</v>
      </c>
      <c r="H17" s="6" t="s">
        <v>131</v>
      </c>
      <c r="I17" s="6">
        <v>4500</v>
      </c>
      <c r="J17" s="6" t="s">
        <v>120</v>
      </c>
    </row>
    <row r="18" spans="1:10" ht="15" thickBot="1" x14ac:dyDescent="0.4">
      <c r="A18" s="44" t="s">
        <v>132</v>
      </c>
      <c r="B18" s="6" t="s">
        <v>119</v>
      </c>
      <c r="C18" s="6" t="s">
        <v>49</v>
      </c>
      <c r="D18" s="14">
        <v>6941764458710</v>
      </c>
      <c r="E18" s="6">
        <v>24999</v>
      </c>
      <c r="F18" s="6">
        <v>26999</v>
      </c>
      <c r="G18" s="6">
        <v>4500</v>
      </c>
      <c r="H18" s="6" t="s">
        <v>131</v>
      </c>
      <c r="I18" s="6">
        <v>4500</v>
      </c>
      <c r="J18" s="6" t="s">
        <v>120</v>
      </c>
    </row>
    <row r="19" spans="1:10" ht="15" thickBot="1" x14ac:dyDescent="0.4">
      <c r="A19" s="44" t="s">
        <v>132</v>
      </c>
      <c r="B19" s="6" t="s">
        <v>119</v>
      </c>
      <c r="C19" s="6" t="s">
        <v>49</v>
      </c>
      <c r="D19" s="14">
        <v>6941764458727</v>
      </c>
      <c r="E19" s="6">
        <v>24999</v>
      </c>
      <c r="F19" s="6">
        <v>26999</v>
      </c>
      <c r="G19" s="6">
        <v>4500</v>
      </c>
      <c r="H19" s="6" t="s">
        <v>131</v>
      </c>
      <c r="I19" s="6">
        <v>4500</v>
      </c>
      <c r="J19" s="6" t="s">
        <v>120</v>
      </c>
    </row>
    <row r="20" spans="1:10" ht="15.5" x14ac:dyDescent="0.35">
      <c r="A20" s="4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F5014-2490-4614-A631-11F85E790E99}">
  <dimension ref="A1:J58"/>
  <sheetViews>
    <sheetView workbookViewId="0">
      <selection activeCell="B11" sqref="B11:B37"/>
    </sheetView>
  </sheetViews>
  <sheetFormatPr defaultRowHeight="14.5" x14ac:dyDescent="0.35"/>
  <cols>
    <col min="1" max="1" width="9.7265625" bestFit="1" customWidth="1"/>
    <col min="2" max="2" width="8.453125" bestFit="1" customWidth="1"/>
    <col min="3" max="3" width="9.81640625" bestFit="1" customWidth="1"/>
    <col min="4" max="4" width="15" bestFit="1" customWidth="1"/>
    <col min="5" max="5" width="9.81640625" bestFit="1" customWidth="1"/>
    <col min="6" max="6" width="5.36328125" bestFit="1" customWidth="1"/>
    <col min="7" max="7" width="5.90625" bestFit="1" customWidth="1"/>
    <col min="8" max="8" width="40.6328125" bestFit="1" customWidth="1"/>
    <col min="9" max="9" width="8" bestFit="1" customWidth="1"/>
    <col min="10" max="10" width="27.453125" bestFit="1" customWidth="1"/>
  </cols>
  <sheetData>
    <row r="1" spans="1:10" ht="15" thickBot="1" x14ac:dyDescent="0.4">
      <c r="A1" s="15" t="s">
        <v>103</v>
      </c>
      <c r="B1" s="16" t="s">
        <v>38</v>
      </c>
      <c r="C1" s="16" t="s">
        <v>104</v>
      </c>
      <c r="D1" s="16" t="s">
        <v>2</v>
      </c>
      <c r="E1" s="16" t="s">
        <v>40</v>
      </c>
      <c r="F1" s="16" t="s">
        <v>3</v>
      </c>
      <c r="G1" s="16" t="s">
        <v>41</v>
      </c>
      <c r="H1" s="16" t="s">
        <v>42</v>
      </c>
      <c r="I1" s="16" t="s">
        <v>43</v>
      </c>
      <c r="J1" s="16" t="s">
        <v>42</v>
      </c>
    </row>
    <row r="2" spans="1:10" ht="15" thickBot="1" x14ac:dyDescent="0.4">
      <c r="A2" s="44" t="s">
        <v>138</v>
      </c>
      <c r="B2" s="6" t="s">
        <v>119</v>
      </c>
      <c r="C2" s="6" t="s">
        <v>45</v>
      </c>
      <c r="D2" s="68">
        <v>6941764458642</v>
      </c>
      <c r="E2" s="6">
        <v>21999</v>
      </c>
      <c r="F2" s="4">
        <v>23999</v>
      </c>
      <c r="G2" s="4">
        <v>3500</v>
      </c>
      <c r="H2" s="4" t="s">
        <v>142</v>
      </c>
      <c r="I2" s="4">
        <v>3500</v>
      </c>
      <c r="J2" s="4" t="s">
        <v>120</v>
      </c>
    </row>
    <row r="3" spans="1:10" ht="15" thickBot="1" x14ac:dyDescent="0.4">
      <c r="A3" s="44" t="s">
        <v>138</v>
      </c>
      <c r="B3" s="6" t="s">
        <v>119</v>
      </c>
      <c r="C3" s="6" t="s">
        <v>45</v>
      </c>
      <c r="D3" s="68">
        <v>6941764458659</v>
      </c>
      <c r="E3" s="6">
        <v>21999</v>
      </c>
      <c r="F3" s="4">
        <v>23999</v>
      </c>
      <c r="G3" s="4">
        <v>3500</v>
      </c>
      <c r="H3" s="4" t="s">
        <v>142</v>
      </c>
      <c r="I3" s="4">
        <v>3500</v>
      </c>
      <c r="J3" s="4" t="s">
        <v>120</v>
      </c>
    </row>
    <row r="4" spans="1:10" ht="15" thickBot="1" x14ac:dyDescent="0.4">
      <c r="A4" s="44" t="s">
        <v>138</v>
      </c>
      <c r="B4" s="6" t="s">
        <v>119</v>
      </c>
      <c r="C4" s="6" t="s">
        <v>45</v>
      </c>
      <c r="D4" s="68">
        <v>6941764458666</v>
      </c>
      <c r="E4" s="6">
        <v>21999</v>
      </c>
      <c r="F4" s="4">
        <v>23999</v>
      </c>
      <c r="G4" s="4">
        <v>3500</v>
      </c>
      <c r="H4" s="4" t="s">
        <v>142</v>
      </c>
      <c r="I4" s="4">
        <v>3500</v>
      </c>
      <c r="J4" s="4" t="s">
        <v>120</v>
      </c>
    </row>
    <row r="5" spans="1:10" ht="15" thickBot="1" x14ac:dyDescent="0.4">
      <c r="A5" s="44" t="s">
        <v>138</v>
      </c>
      <c r="B5" s="6" t="s">
        <v>119</v>
      </c>
      <c r="C5" s="6" t="s">
        <v>47</v>
      </c>
      <c r="D5" s="68">
        <v>6941764458673</v>
      </c>
      <c r="E5" s="6">
        <v>22999</v>
      </c>
      <c r="F5" s="4">
        <v>24999</v>
      </c>
      <c r="G5" s="4">
        <v>3500</v>
      </c>
      <c r="H5" s="4" t="s">
        <v>142</v>
      </c>
      <c r="I5" s="4">
        <v>3500</v>
      </c>
      <c r="J5" s="4" t="s">
        <v>120</v>
      </c>
    </row>
    <row r="6" spans="1:10" ht="15" thickBot="1" x14ac:dyDescent="0.4">
      <c r="A6" s="44" t="s">
        <v>138</v>
      </c>
      <c r="B6" s="6" t="s">
        <v>119</v>
      </c>
      <c r="C6" s="6" t="s">
        <v>47</v>
      </c>
      <c r="D6" s="68">
        <v>6941764458680</v>
      </c>
      <c r="E6" s="6">
        <v>22999</v>
      </c>
      <c r="F6" s="4">
        <v>24999</v>
      </c>
      <c r="G6" s="4">
        <v>3500</v>
      </c>
      <c r="H6" s="4" t="s">
        <v>142</v>
      </c>
      <c r="I6" s="4">
        <v>3500</v>
      </c>
      <c r="J6" s="4" t="s">
        <v>120</v>
      </c>
    </row>
    <row r="7" spans="1:10" ht="15" thickBot="1" x14ac:dyDescent="0.4">
      <c r="A7" s="44" t="s">
        <v>138</v>
      </c>
      <c r="B7" s="6" t="s">
        <v>119</v>
      </c>
      <c r="C7" s="6" t="s">
        <v>47</v>
      </c>
      <c r="D7" s="68">
        <v>6941764458697</v>
      </c>
      <c r="E7" s="6">
        <v>22999</v>
      </c>
      <c r="F7" s="4">
        <v>24999</v>
      </c>
      <c r="G7" s="4">
        <v>3500</v>
      </c>
      <c r="H7" s="4" t="s">
        <v>142</v>
      </c>
      <c r="I7" s="4">
        <v>3500</v>
      </c>
      <c r="J7" s="4" t="s">
        <v>120</v>
      </c>
    </row>
    <row r="8" spans="1:10" ht="15" thickBot="1" x14ac:dyDescent="0.4">
      <c r="A8" s="44" t="s">
        <v>138</v>
      </c>
      <c r="B8" s="6" t="s">
        <v>119</v>
      </c>
      <c r="C8" s="6" t="s">
        <v>49</v>
      </c>
      <c r="D8" s="68">
        <v>6941764458703</v>
      </c>
      <c r="E8" s="6">
        <v>24999</v>
      </c>
      <c r="F8" s="4">
        <v>26999</v>
      </c>
      <c r="G8" s="4">
        <v>4500</v>
      </c>
      <c r="H8" s="4" t="s">
        <v>142</v>
      </c>
      <c r="I8" s="4">
        <v>4500</v>
      </c>
      <c r="J8" s="4" t="s">
        <v>120</v>
      </c>
    </row>
    <row r="9" spans="1:10" ht="15" thickBot="1" x14ac:dyDescent="0.4">
      <c r="A9" s="44" t="s">
        <v>138</v>
      </c>
      <c r="B9" s="6" t="s">
        <v>119</v>
      </c>
      <c r="C9" s="6" t="s">
        <v>49</v>
      </c>
      <c r="D9" s="68">
        <v>6941764458710</v>
      </c>
      <c r="E9" s="6">
        <v>24999</v>
      </c>
      <c r="F9" s="4">
        <v>26999</v>
      </c>
      <c r="G9" s="4">
        <v>4500</v>
      </c>
      <c r="H9" s="4" t="s">
        <v>142</v>
      </c>
      <c r="I9" s="4">
        <v>4500</v>
      </c>
      <c r="J9" s="4" t="s">
        <v>120</v>
      </c>
    </row>
    <row r="10" spans="1:10" ht="15" thickBot="1" x14ac:dyDescent="0.4">
      <c r="A10" s="44" t="s">
        <v>138</v>
      </c>
      <c r="B10" s="6" t="s">
        <v>119</v>
      </c>
      <c r="C10" s="6" t="s">
        <v>49</v>
      </c>
      <c r="D10" s="68">
        <v>6941764458727</v>
      </c>
      <c r="E10" s="6">
        <v>24999</v>
      </c>
      <c r="F10" s="4">
        <v>26999</v>
      </c>
      <c r="G10" s="4">
        <v>4500</v>
      </c>
      <c r="H10" s="4" t="s">
        <v>142</v>
      </c>
      <c r="I10" s="4">
        <v>4500</v>
      </c>
      <c r="J10" s="4" t="s">
        <v>120</v>
      </c>
    </row>
    <row r="11" spans="1:10" ht="15" thickBot="1" x14ac:dyDescent="0.4">
      <c r="A11" s="42" t="s">
        <v>139</v>
      </c>
      <c r="B11" s="6" t="s">
        <v>119</v>
      </c>
      <c r="C11" s="6" t="s">
        <v>45</v>
      </c>
      <c r="D11" s="68">
        <v>6941764458642</v>
      </c>
      <c r="E11" s="6">
        <v>21999</v>
      </c>
      <c r="F11" s="4">
        <v>23999</v>
      </c>
      <c r="G11" s="4">
        <v>2000</v>
      </c>
      <c r="H11" s="4" t="s">
        <v>143</v>
      </c>
      <c r="I11" s="4">
        <v>2000</v>
      </c>
      <c r="J11" s="4" t="s">
        <v>120</v>
      </c>
    </row>
    <row r="12" spans="1:10" ht="15" thickBot="1" x14ac:dyDescent="0.4">
      <c r="A12" s="42" t="s">
        <v>139</v>
      </c>
      <c r="B12" s="6" t="s">
        <v>119</v>
      </c>
      <c r="C12" s="6" t="s">
        <v>45</v>
      </c>
      <c r="D12" s="68">
        <v>6941764458659</v>
      </c>
      <c r="E12" s="6">
        <v>21999</v>
      </c>
      <c r="F12" s="4">
        <v>23999</v>
      </c>
      <c r="G12" s="4">
        <v>2000</v>
      </c>
      <c r="H12" s="4" t="s">
        <v>143</v>
      </c>
      <c r="I12" s="4">
        <v>2000</v>
      </c>
      <c r="J12" s="4" t="s">
        <v>120</v>
      </c>
    </row>
    <row r="13" spans="1:10" ht="15" thickBot="1" x14ac:dyDescent="0.4">
      <c r="A13" s="42" t="s">
        <v>139</v>
      </c>
      <c r="B13" s="6" t="s">
        <v>119</v>
      </c>
      <c r="C13" s="6" t="s">
        <v>45</v>
      </c>
      <c r="D13" s="68">
        <v>6941764458666</v>
      </c>
      <c r="E13" s="6">
        <v>21999</v>
      </c>
      <c r="F13" s="4">
        <v>23999</v>
      </c>
      <c r="G13" s="4">
        <v>2000</v>
      </c>
      <c r="H13" s="4" t="s">
        <v>143</v>
      </c>
      <c r="I13" s="4">
        <v>2000</v>
      </c>
      <c r="J13" s="4" t="s">
        <v>120</v>
      </c>
    </row>
    <row r="14" spans="1:10" ht="15" thickBot="1" x14ac:dyDescent="0.4">
      <c r="A14" s="42" t="s">
        <v>139</v>
      </c>
      <c r="B14" s="6" t="s">
        <v>119</v>
      </c>
      <c r="C14" s="6" t="s">
        <v>47</v>
      </c>
      <c r="D14" s="68">
        <v>6941764458673</v>
      </c>
      <c r="E14" s="6">
        <v>22999</v>
      </c>
      <c r="F14" s="4">
        <v>24999</v>
      </c>
      <c r="G14" s="4">
        <v>2000</v>
      </c>
      <c r="H14" s="4" t="s">
        <v>143</v>
      </c>
      <c r="I14" s="4">
        <v>2000</v>
      </c>
      <c r="J14" s="4" t="s">
        <v>120</v>
      </c>
    </row>
    <row r="15" spans="1:10" ht="15" thickBot="1" x14ac:dyDescent="0.4">
      <c r="A15" s="42" t="s">
        <v>139</v>
      </c>
      <c r="B15" s="6" t="s">
        <v>119</v>
      </c>
      <c r="C15" s="6" t="s">
        <v>47</v>
      </c>
      <c r="D15" s="68">
        <v>6941764458680</v>
      </c>
      <c r="E15" s="6">
        <v>22999</v>
      </c>
      <c r="F15" s="4">
        <v>24999</v>
      </c>
      <c r="G15" s="4">
        <v>2000</v>
      </c>
      <c r="H15" s="4" t="s">
        <v>143</v>
      </c>
      <c r="I15" s="4">
        <v>2000</v>
      </c>
      <c r="J15" s="4" t="s">
        <v>120</v>
      </c>
    </row>
    <row r="16" spans="1:10" ht="15" thickBot="1" x14ac:dyDescent="0.4">
      <c r="A16" s="42" t="s">
        <v>139</v>
      </c>
      <c r="B16" s="6" t="s">
        <v>119</v>
      </c>
      <c r="C16" s="6" t="s">
        <v>47</v>
      </c>
      <c r="D16" s="68">
        <v>6941764458697</v>
      </c>
      <c r="E16" s="6">
        <v>22999</v>
      </c>
      <c r="F16" s="4">
        <v>24999</v>
      </c>
      <c r="G16" s="4">
        <v>2000</v>
      </c>
      <c r="H16" s="4" t="s">
        <v>143</v>
      </c>
      <c r="I16" s="4">
        <v>2000</v>
      </c>
      <c r="J16" s="4" t="s">
        <v>120</v>
      </c>
    </row>
    <row r="17" spans="1:10" ht="15" thickBot="1" x14ac:dyDescent="0.4">
      <c r="A17" s="42" t="s">
        <v>139</v>
      </c>
      <c r="B17" s="6" t="s">
        <v>119</v>
      </c>
      <c r="C17" s="6" t="s">
        <v>49</v>
      </c>
      <c r="D17" s="68">
        <v>6941764458703</v>
      </c>
      <c r="E17" s="6">
        <v>24999</v>
      </c>
      <c r="F17" s="4">
        <v>26999</v>
      </c>
      <c r="G17" s="4">
        <v>3000</v>
      </c>
      <c r="H17" s="4" t="s">
        <v>143</v>
      </c>
      <c r="I17" s="4">
        <v>3000</v>
      </c>
      <c r="J17" s="4" t="s">
        <v>120</v>
      </c>
    </row>
    <row r="18" spans="1:10" ht="15" thickBot="1" x14ac:dyDescent="0.4">
      <c r="A18" s="42" t="s">
        <v>139</v>
      </c>
      <c r="B18" s="6" t="s">
        <v>119</v>
      </c>
      <c r="C18" s="6" t="s">
        <v>49</v>
      </c>
      <c r="D18" s="68">
        <v>6941764458710</v>
      </c>
      <c r="E18" s="6">
        <v>24999</v>
      </c>
      <c r="F18" s="4">
        <v>26999</v>
      </c>
      <c r="G18" s="4">
        <v>3000</v>
      </c>
      <c r="H18" s="4" t="s">
        <v>143</v>
      </c>
      <c r="I18" s="4">
        <v>3000</v>
      </c>
      <c r="J18" s="4" t="s">
        <v>120</v>
      </c>
    </row>
    <row r="19" spans="1:10" ht="15" thickBot="1" x14ac:dyDescent="0.4">
      <c r="A19" s="42" t="s">
        <v>139</v>
      </c>
      <c r="B19" s="6" t="s">
        <v>119</v>
      </c>
      <c r="C19" s="6" t="s">
        <v>49</v>
      </c>
      <c r="D19" s="68">
        <v>6941764458727</v>
      </c>
      <c r="E19" s="6">
        <v>24999</v>
      </c>
      <c r="F19" s="4">
        <v>26999</v>
      </c>
      <c r="G19" s="4">
        <v>3000</v>
      </c>
      <c r="H19" s="4" t="s">
        <v>143</v>
      </c>
      <c r="I19" s="4">
        <v>3000</v>
      </c>
      <c r="J19" s="4" t="s">
        <v>120</v>
      </c>
    </row>
    <row r="20" spans="1:10" ht="15" thickBot="1" x14ac:dyDescent="0.4">
      <c r="A20" s="43" t="s">
        <v>140</v>
      </c>
      <c r="B20" s="6" t="s">
        <v>108</v>
      </c>
      <c r="C20" s="6" t="s">
        <v>45</v>
      </c>
      <c r="D20" s="68">
        <v>6941764458864</v>
      </c>
      <c r="E20" s="6">
        <v>24999</v>
      </c>
      <c r="F20" s="4">
        <v>26999</v>
      </c>
      <c r="G20" s="4">
        <v>3000</v>
      </c>
      <c r="H20" s="4" t="s">
        <v>142</v>
      </c>
      <c r="I20" s="4">
        <v>3000</v>
      </c>
      <c r="J20" s="4" t="s">
        <v>120</v>
      </c>
    </row>
    <row r="21" spans="1:10" ht="15" thickBot="1" x14ac:dyDescent="0.4">
      <c r="A21" s="43" t="s">
        <v>140</v>
      </c>
      <c r="B21" s="6" t="s">
        <v>108</v>
      </c>
      <c r="C21" s="6" t="s">
        <v>45</v>
      </c>
      <c r="D21" s="68">
        <v>6941764458871</v>
      </c>
      <c r="E21" s="6">
        <v>24999</v>
      </c>
      <c r="F21" s="4">
        <v>26999</v>
      </c>
      <c r="G21" s="4">
        <v>3000</v>
      </c>
      <c r="H21" s="4" t="s">
        <v>142</v>
      </c>
      <c r="I21" s="4">
        <v>3000</v>
      </c>
      <c r="J21" s="4" t="s">
        <v>120</v>
      </c>
    </row>
    <row r="22" spans="1:10" ht="15" thickBot="1" x14ac:dyDescent="0.4">
      <c r="A22" s="43" t="s">
        <v>140</v>
      </c>
      <c r="B22" s="6" t="s">
        <v>108</v>
      </c>
      <c r="C22" s="6" t="s">
        <v>45</v>
      </c>
      <c r="D22" s="68">
        <v>6941764458888</v>
      </c>
      <c r="E22" s="6">
        <v>24999</v>
      </c>
      <c r="F22" s="4">
        <v>26999</v>
      </c>
      <c r="G22" s="4">
        <v>3000</v>
      </c>
      <c r="H22" s="4" t="s">
        <v>142</v>
      </c>
      <c r="I22" s="4">
        <v>3000</v>
      </c>
      <c r="J22" s="4" t="s">
        <v>120</v>
      </c>
    </row>
    <row r="23" spans="1:10" ht="15" thickBot="1" x14ac:dyDescent="0.4">
      <c r="A23" s="43" t="s">
        <v>140</v>
      </c>
      <c r="B23" s="6" t="s">
        <v>108</v>
      </c>
      <c r="C23" s="6" t="s">
        <v>47</v>
      </c>
      <c r="D23" s="68">
        <v>6941764458895</v>
      </c>
      <c r="E23" s="6">
        <v>25999</v>
      </c>
      <c r="F23" s="4">
        <v>27999</v>
      </c>
      <c r="G23" s="4">
        <v>3000</v>
      </c>
      <c r="H23" s="4" t="s">
        <v>142</v>
      </c>
      <c r="I23" s="4">
        <v>3000</v>
      </c>
      <c r="J23" s="4" t="s">
        <v>120</v>
      </c>
    </row>
    <row r="24" spans="1:10" ht="15" thickBot="1" x14ac:dyDescent="0.4">
      <c r="A24" s="43" t="s">
        <v>140</v>
      </c>
      <c r="B24" s="6" t="s">
        <v>108</v>
      </c>
      <c r="C24" s="6" t="s">
        <v>47</v>
      </c>
      <c r="D24" s="68">
        <v>6941764458901</v>
      </c>
      <c r="E24" s="6">
        <v>25999</v>
      </c>
      <c r="F24" s="4">
        <v>27999</v>
      </c>
      <c r="G24" s="4">
        <v>3000</v>
      </c>
      <c r="H24" s="4" t="s">
        <v>142</v>
      </c>
      <c r="I24" s="4">
        <v>3000</v>
      </c>
      <c r="J24" s="4" t="s">
        <v>120</v>
      </c>
    </row>
    <row r="25" spans="1:10" ht="15" thickBot="1" x14ac:dyDescent="0.4">
      <c r="A25" s="43" t="s">
        <v>140</v>
      </c>
      <c r="B25" s="6" t="s">
        <v>108</v>
      </c>
      <c r="C25" s="6" t="s">
        <v>47</v>
      </c>
      <c r="D25" s="68">
        <v>6941764458918</v>
      </c>
      <c r="E25" s="6">
        <v>25999</v>
      </c>
      <c r="F25" s="4">
        <v>27999</v>
      </c>
      <c r="G25" s="4">
        <v>3000</v>
      </c>
      <c r="H25" s="4" t="s">
        <v>142</v>
      </c>
      <c r="I25" s="4">
        <v>3000</v>
      </c>
      <c r="J25" s="4" t="s">
        <v>120</v>
      </c>
    </row>
    <row r="26" spans="1:10" ht="15" thickBot="1" x14ac:dyDescent="0.4">
      <c r="A26" s="43" t="s">
        <v>140</v>
      </c>
      <c r="B26" s="6" t="s">
        <v>108</v>
      </c>
      <c r="C26" s="6" t="s">
        <v>49</v>
      </c>
      <c r="D26" s="68">
        <v>6941764458925</v>
      </c>
      <c r="E26" s="6">
        <v>27999</v>
      </c>
      <c r="F26" s="4">
        <v>29999</v>
      </c>
      <c r="G26" s="4">
        <v>3000</v>
      </c>
      <c r="H26" s="4" t="s">
        <v>142</v>
      </c>
      <c r="I26" s="4">
        <v>3000</v>
      </c>
      <c r="J26" s="4" t="s">
        <v>120</v>
      </c>
    </row>
    <row r="27" spans="1:10" ht="15" thickBot="1" x14ac:dyDescent="0.4">
      <c r="A27" s="43" t="s">
        <v>140</v>
      </c>
      <c r="B27" s="6" t="s">
        <v>108</v>
      </c>
      <c r="C27" s="6" t="s">
        <v>49</v>
      </c>
      <c r="D27" s="68">
        <v>6941764458932</v>
      </c>
      <c r="E27" s="6">
        <v>27999</v>
      </c>
      <c r="F27" s="4">
        <v>29999</v>
      </c>
      <c r="G27" s="4">
        <v>3000</v>
      </c>
      <c r="H27" s="4" t="s">
        <v>142</v>
      </c>
      <c r="I27" s="4">
        <v>3000</v>
      </c>
      <c r="J27" s="4" t="s">
        <v>120</v>
      </c>
    </row>
    <row r="28" spans="1:10" ht="15" thickBot="1" x14ac:dyDescent="0.4">
      <c r="A28" s="43" t="s">
        <v>140</v>
      </c>
      <c r="B28" s="6" t="s">
        <v>108</v>
      </c>
      <c r="C28" s="6" t="s">
        <v>49</v>
      </c>
      <c r="D28" s="68">
        <v>6941764458949</v>
      </c>
      <c r="E28" s="6">
        <v>27999</v>
      </c>
      <c r="F28" s="4">
        <v>29999</v>
      </c>
      <c r="G28" s="4">
        <v>3000</v>
      </c>
      <c r="H28" s="4" t="s">
        <v>142</v>
      </c>
      <c r="I28" s="4">
        <v>3000</v>
      </c>
      <c r="J28" s="4" t="s">
        <v>120</v>
      </c>
    </row>
    <row r="29" spans="1:10" ht="15" thickBot="1" x14ac:dyDescent="0.4">
      <c r="A29" s="65" t="s">
        <v>139</v>
      </c>
      <c r="B29" s="6" t="s">
        <v>108</v>
      </c>
      <c r="C29" s="6" t="s">
        <v>45</v>
      </c>
      <c r="D29" s="68">
        <v>6941764458864</v>
      </c>
      <c r="E29" s="6">
        <v>24999</v>
      </c>
      <c r="F29" s="4">
        <v>26999</v>
      </c>
      <c r="G29" s="4">
        <v>2000</v>
      </c>
      <c r="H29" s="4" t="s">
        <v>143</v>
      </c>
      <c r="I29" s="4">
        <v>2000</v>
      </c>
      <c r="J29" s="4" t="s">
        <v>120</v>
      </c>
    </row>
    <row r="30" spans="1:10" ht="15" thickBot="1" x14ac:dyDescent="0.4">
      <c r="A30" s="65" t="s">
        <v>139</v>
      </c>
      <c r="B30" s="6" t="s">
        <v>108</v>
      </c>
      <c r="C30" s="6" t="s">
        <v>45</v>
      </c>
      <c r="D30" s="68">
        <v>6941764458871</v>
      </c>
      <c r="E30" s="6">
        <v>24999</v>
      </c>
      <c r="F30" s="4">
        <v>26999</v>
      </c>
      <c r="G30" s="4">
        <v>2000</v>
      </c>
      <c r="H30" s="4" t="s">
        <v>143</v>
      </c>
      <c r="I30" s="4">
        <v>2000</v>
      </c>
      <c r="J30" s="4" t="s">
        <v>120</v>
      </c>
    </row>
    <row r="31" spans="1:10" ht="15" thickBot="1" x14ac:dyDescent="0.4">
      <c r="A31" s="65" t="s">
        <v>139</v>
      </c>
      <c r="B31" s="6" t="s">
        <v>108</v>
      </c>
      <c r="C31" s="6" t="s">
        <v>45</v>
      </c>
      <c r="D31" s="68">
        <v>6941764458888</v>
      </c>
      <c r="E31" s="6">
        <v>24999</v>
      </c>
      <c r="F31" s="4">
        <v>26999</v>
      </c>
      <c r="G31" s="4">
        <v>2000</v>
      </c>
      <c r="H31" s="4" t="s">
        <v>143</v>
      </c>
      <c r="I31" s="4">
        <v>2000</v>
      </c>
      <c r="J31" s="4" t="s">
        <v>120</v>
      </c>
    </row>
    <row r="32" spans="1:10" ht="15" thickBot="1" x14ac:dyDescent="0.4">
      <c r="A32" s="65" t="s">
        <v>139</v>
      </c>
      <c r="B32" s="6" t="s">
        <v>108</v>
      </c>
      <c r="C32" s="6" t="s">
        <v>47</v>
      </c>
      <c r="D32" s="68">
        <v>6941764458895</v>
      </c>
      <c r="E32" s="6">
        <v>25999</v>
      </c>
      <c r="F32" s="4">
        <v>27999</v>
      </c>
      <c r="G32" s="4">
        <v>2000</v>
      </c>
      <c r="H32" s="4" t="s">
        <v>143</v>
      </c>
      <c r="I32" s="4">
        <v>2000</v>
      </c>
      <c r="J32" s="4" t="s">
        <v>120</v>
      </c>
    </row>
    <row r="33" spans="1:10" ht="15" thickBot="1" x14ac:dyDescent="0.4">
      <c r="A33" s="65" t="s">
        <v>139</v>
      </c>
      <c r="B33" s="6" t="s">
        <v>108</v>
      </c>
      <c r="C33" s="6" t="s">
        <v>47</v>
      </c>
      <c r="D33" s="68">
        <v>6941764458901</v>
      </c>
      <c r="E33" s="6">
        <v>25999</v>
      </c>
      <c r="F33" s="4">
        <v>27999</v>
      </c>
      <c r="G33" s="4">
        <v>2000</v>
      </c>
      <c r="H33" s="4" t="s">
        <v>143</v>
      </c>
      <c r="I33" s="4">
        <v>2000</v>
      </c>
      <c r="J33" s="4" t="s">
        <v>120</v>
      </c>
    </row>
    <row r="34" spans="1:10" ht="15" thickBot="1" x14ac:dyDescent="0.4">
      <c r="A34" s="65" t="s">
        <v>139</v>
      </c>
      <c r="B34" s="6" t="s">
        <v>108</v>
      </c>
      <c r="C34" s="6" t="s">
        <v>47</v>
      </c>
      <c r="D34" s="68">
        <v>6941764458918</v>
      </c>
      <c r="E34" s="6">
        <v>25999</v>
      </c>
      <c r="F34" s="4">
        <v>27999</v>
      </c>
      <c r="G34" s="4">
        <v>2000</v>
      </c>
      <c r="H34" s="4" t="s">
        <v>143</v>
      </c>
      <c r="I34" s="4">
        <v>2000</v>
      </c>
      <c r="J34" s="4" t="s">
        <v>120</v>
      </c>
    </row>
    <row r="35" spans="1:10" ht="15" thickBot="1" x14ac:dyDescent="0.4">
      <c r="A35" s="65" t="s">
        <v>139</v>
      </c>
      <c r="B35" s="6" t="s">
        <v>108</v>
      </c>
      <c r="C35" s="6" t="s">
        <v>49</v>
      </c>
      <c r="D35" s="68">
        <v>6941764458925</v>
      </c>
      <c r="E35" s="6">
        <v>27999</v>
      </c>
      <c r="F35" s="4">
        <v>29999</v>
      </c>
      <c r="G35" s="4">
        <v>3000</v>
      </c>
      <c r="H35" s="4" t="s">
        <v>142</v>
      </c>
      <c r="I35" s="4">
        <v>3000</v>
      </c>
      <c r="J35" s="4" t="s">
        <v>120</v>
      </c>
    </row>
    <row r="36" spans="1:10" ht="15" thickBot="1" x14ac:dyDescent="0.4">
      <c r="A36" s="65" t="s">
        <v>139</v>
      </c>
      <c r="B36" s="6" t="s">
        <v>108</v>
      </c>
      <c r="C36" s="6" t="s">
        <v>49</v>
      </c>
      <c r="D36" s="68">
        <v>6941764458932</v>
      </c>
      <c r="E36" s="6">
        <v>27999</v>
      </c>
      <c r="F36" s="4">
        <v>29999</v>
      </c>
      <c r="G36" s="4">
        <v>3000</v>
      </c>
      <c r="H36" s="4" t="s">
        <v>142</v>
      </c>
      <c r="I36" s="4">
        <v>3000</v>
      </c>
      <c r="J36" s="4" t="s">
        <v>120</v>
      </c>
    </row>
    <row r="37" spans="1:10" ht="15" thickBot="1" x14ac:dyDescent="0.4">
      <c r="A37" s="65" t="s">
        <v>139</v>
      </c>
      <c r="B37" s="6" t="s">
        <v>108</v>
      </c>
      <c r="C37" s="6" t="s">
        <v>49</v>
      </c>
      <c r="D37" s="68">
        <v>6941764458949</v>
      </c>
      <c r="E37" s="6">
        <v>27999</v>
      </c>
      <c r="F37" s="4">
        <v>29999</v>
      </c>
      <c r="G37" s="4">
        <v>3000</v>
      </c>
      <c r="H37" s="4" t="s">
        <v>142</v>
      </c>
      <c r="I37" s="4">
        <v>3000</v>
      </c>
      <c r="J37" s="4" t="s">
        <v>120</v>
      </c>
    </row>
    <row r="39" spans="1:10" ht="15.5" x14ac:dyDescent="0.35">
      <c r="A39" s="12"/>
    </row>
    <row r="40" spans="1:10" ht="15" thickBot="1" x14ac:dyDescent="0.4"/>
    <row r="41" spans="1:10" ht="15" thickBot="1" x14ac:dyDescent="0.4">
      <c r="A41" s="19"/>
      <c r="B41" s="97" t="s">
        <v>41</v>
      </c>
      <c r="C41" s="118"/>
      <c r="D41" s="119" t="s">
        <v>43</v>
      </c>
      <c r="E41" s="109"/>
    </row>
    <row r="42" spans="1:10" ht="15" thickBot="1" x14ac:dyDescent="0.4">
      <c r="A42" s="22" t="s">
        <v>56</v>
      </c>
      <c r="B42" s="23" t="s">
        <v>57</v>
      </c>
      <c r="C42" s="23" t="s">
        <v>418</v>
      </c>
      <c r="D42" s="23" t="s">
        <v>57</v>
      </c>
      <c r="E42" s="23" t="s">
        <v>418</v>
      </c>
    </row>
    <row r="43" spans="1:10" ht="15" thickBot="1" x14ac:dyDescent="0.4">
      <c r="A43" s="24" t="s">
        <v>59</v>
      </c>
      <c r="B43" s="25">
        <v>0.55000000000000004</v>
      </c>
      <c r="C43" s="25">
        <v>0.45</v>
      </c>
      <c r="D43" s="23" t="s">
        <v>60</v>
      </c>
      <c r="E43" s="23" t="s">
        <v>60</v>
      </c>
    </row>
    <row r="44" spans="1:10" ht="15" thickBot="1" x14ac:dyDescent="0.4">
      <c r="A44" s="24" t="s">
        <v>61</v>
      </c>
      <c r="B44" s="25">
        <v>0.5</v>
      </c>
      <c r="C44" s="25">
        <v>0.5</v>
      </c>
      <c r="D44" s="23" t="s">
        <v>60</v>
      </c>
      <c r="E44" s="23" t="s">
        <v>60</v>
      </c>
    </row>
    <row r="45" spans="1:10" ht="15" thickBot="1" x14ac:dyDescent="0.4">
      <c r="A45" s="24" t="s">
        <v>62</v>
      </c>
      <c r="B45" s="25">
        <v>0.7</v>
      </c>
      <c r="C45" s="25">
        <v>0.3</v>
      </c>
      <c r="D45" s="25">
        <v>0</v>
      </c>
      <c r="E45" s="25">
        <v>1</v>
      </c>
    </row>
    <row r="46" spans="1:10" ht="15" thickBot="1" x14ac:dyDescent="0.4">
      <c r="A46" s="24" t="s">
        <v>63</v>
      </c>
      <c r="B46" s="25">
        <v>0.8</v>
      </c>
      <c r="C46" s="25">
        <v>0.2</v>
      </c>
      <c r="D46" s="23" t="s">
        <v>60</v>
      </c>
      <c r="E46" s="23" t="s">
        <v>60</v>
      </c>
    </row>
    <row r="47" spans="1:10" ht="15" thickBot="1" x14ac:dyDescent="0.4">
      <c r="A47" s="24" t="s">
        <v>64</v>
      </c>
      <c r="B47" s="25">
        <v>0.35</v>
      </c>
      <c r="C47" s="25">
        <v>0.65</v>
      </c>
      <c r="D47" s="25">
        <v>0</v>
      </c>
      <c r="E47" s="25">
        <v>1</v>
      </c>
    </row>
    <row r="48" spans="1:10" ht="15" thickBot="1" x14ac:dyDescent="0.4">
      <c r="A48" s="24" t="s">
        <v>66</v>
      </c>
      <c r="B48" s="23" t="s">
        <v>60</v>
      </c>
      <c r="C48" s="23" t="s">
        <v>60</v>
      </c>
      <c r="D48" s="25">
        <v>0</v>
      </c>
      <c r="E48" s="25">
        <v>1</v>
      </c>
    </row>
    <row r="49" spans="1:5" ht="15" thickBot="1" x14ac:dyDescent="0.4">
      <c r="A49" s="24" t="s">
        <v>67</v>
      </c>
      <c r="B49" s="25">
        <v>0.5</v>
      </c>
      <c r="C49" s="25">
        <v>0.5</v>
      </c>
      <c r="D49" s="23" t="s">
        <v>60</v>
      </c>
      <c r="E49" s="23" t="s">
        <v>60</v>
      </c>
    </row>
    <row r="50" spans="1:5" ht="15" thickBot="1" x14ac:dyDescent="0.4">
      <c r="A50" s="24" t="s">
        <v>69</v>
      </c>
      <c r="B50" s="25">
        <v>0</v>
      </c>
      <c r="C50" s="25">
        <v>1</v>
      </c>
      <c r="D50" s="25">
        <v>0</v>
      </c>
      <c r="E50" s="25">
        <v>1</v>
      </c>
    </row>
    <row r="51" spans="1:5" ht="15" thickBot="1" x14ac:dyDescent="0.4">
      <c r="A51" s="24" t="s">
        <v>70</v>
      </c>
      <c r="B51" s="25">
        <v>0.9</v>
      </c>
      <c r="C51" s="25">
        <v>0.1</v>
      </c>
      <c r="D51" s="25">
        <v>0</v>
      </c>
      <c r="E51" s="25">
        <v>1</v>
      </c>
    </row>
    <row r="52" spans="1:5" ht="15" thickBot="1" x14ac:dyDescent="0.4">
      <c r="A52" s="24" t="s">
        <v>71</v>
      </c>
      <c r="B52" s="25">
        <v>0.5</v>
      </c>
      <c r="C52" s="25">
        <v>0.5</v>
      </c>
      <c r="D52" s="23" t="s">
        <v>60</v>
      </c>
      <c r="E52" s="23" t="s">
        <v>60</v>
      </c>
    </row>
    <row r="53" spans="1:5" ht="15" thickBot="1" x14ac:dyDescent="0.4">
      <c r="A53" s="24" t="s">
        <v>141</v>
      </c>
      <c r="B53" s="23" t="s">
        <v>60</v>
      </c>
      <c r="C53" s="23" t="s">
        <v>60</v>
      </c>
      <c r="D53" s="25">
        <v>0</v>
      </c>
      <c r="E53" s="25">
        <v>1</v>
      </c>
    </row>
    <row r="54" spans="1:5" ht="15" thickBot="1" x14ac:dyDescent="0.4">
      <c r="A54" s="24" t="s">
        <v>72</v>
      </c>
      <c r="B54" s="25">
        <v>0.2</v>
      </c>
      <c r="C54" s="25">
        <v>0.8</v>
      </c>
      <c r="D54" s="23" t="s">
        <v>60</v>
      </c>
      <c r="E54" s="23" t="s">
        <v>60</v>
      </c>
    </row>
    <row r="55" spans="1:5" ht="15" thickBot="1" x14ac:dyDescent="0.4">
      <c r="A55" s="24" t="s">
        <v>73</v>
      </c>
      <c r="B55" s="23" t="s">
        <v>60</v>
      </c>
      <c r="C55" s="23" t="s">
        <v>60</v>
      </c>
      <c r="D55" s="25">
        <v>0</v>
      </c>
      <c r="E55" s="25">
        <v>1</v>
      </c>
    </row>
    <row r="56" spans="1:5" ht="15" thickBot="1" x14ac:dyDescent="0.4">
      <c r="A56" s="24" t="s">
        <v>74</v>
      </c>
      <c r="B56" s="25">
        <v>0.9</v>
      </c>
      <c r="C56" s="25">
        <v>0.1</v>
      </c>
      <c r="D56" s="23" t="s">
        <v>60</v>
      </c>
      <c r="E56" s="23" t="s">
        <v>60</v>
      </c>
    </row>
    <row r="57" spans="1:5" x14ac:dyDescent="0.35">
      <c r="A57" s="19"/>
      <c r="B57" s="19"/>
      <c r="C57" s="19"/>
      <c r="D57" s="19"/>
      <c r="E57" s="19"/>
    </row>
    <row r="58" spans="1:5" x14ac:dyDescent="0.35">
      <c r="A58" s="120" t="s">
        <v>111</v>
      </c>
      <c r="B58" s="120"/>
      <c r="C58" s="120"/>
      <c r="D58" s="120"/>
      <c r="E58" s="120"/>
    </row>
  </sheetData>
  <mergeCells count="3">
    <mergeCell ref="B41:C41"/>
    <mergeCell ref="D41:E41"/>
    <mergeCell ref="A58:E5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715BE-57FF-408C-B54D-4A4D8923C392}">
  <dimension ref="A1:L67"/>
  <sheetViews>
    <sheetView topLeftCell="B3" workbookViewId="0">
      <selection activeCell="A53" sqref="A53:XFD53"/>
    </sheetView>
  </sheetViews>
  <sheetFormatPr defaultRowHeight="14.5" x14ac:dyDescent="0.35"/>
  <cols>
    <col min="1" max="1" width="42" bestFit="1" customWidth="1"/>
    <col min="2" max="2" width="45.1796875" bestFit="1" customWidth="1"/>
    <col min="3" max="3" width="9.81640625" bestFit="1" customWidth="1"/>
    <col min="4" max="4" width="8.453125" bestFit="1" customWidth="1"/>
    <col min="5" max="5" width="12.26953125" bestFit="1" customWidth="1"/>
    <col min="6" max="6" width="15" bestFit="1" customWidth="1"/>
    <col min="7" max="7" width="7.90625" bestFit="1" customWidth="1"/>
    <col min="8" max="8" width="5.36328125" bestFit="1" customWidth="1"/>
    <col min="9" max="9" width="5.90625" bestFit="1" customWidth="1"/>
    <col min="10" max="10" width="40.90625" bestFit="1" customWidth="1"/>
    <col min="11" max="11" width="8" bestFit="1" customWidth="1"/>
    <col min="12" max="12" width="20.08984375" bestFit="1" customWidth="1"/>
  </cols>
  <sheetData>
    <row r="1" spans="1:12" ht="15.5" x14ac:dyDescent="0.35">
      <c r="A1" s="12"/>
    </row>
    <row r="2" spans="1:12" ht="15" thickBot="1" x14ac:dyDescent="0.4"/>
    <row r="3" spans="1:12" ht="15" thickBot="1" x14ac:dyDescent="0.4">
      <c r="A3" s="15" t="s">
        <v>144</v>
      </c>
      <c r="B3" s="16" t="s">
        <v>1</v>
      </c>
      <c r="C3" s="16" t="s">
        <v>38</v>
      </c>
      <c r="D3" s="16" t="s">
        <v>104</v>
      </c>
      <c r="E3" s="16" t="s">
        <v>145</v>
      </c>
      <c r="F3" s="16" t="s">
        <v>2</v>
      </c>
      <c r="G3" s="16" t="s">
        <v>40</v>
      </c>
      <c r="H3" s="16" t="s">
        <v>3</v>
      </c>
      <c r="I3" s="16" t="s">
        <v>41</v>
      </c>
      <c r="J3" s="16" t="s">
        <v>42</v>
      </c>
      <c r="K3" s="16" t="s">
        <v>43</v>
      </c>
      <c r="L3" s="16" t="s">
        <v>42</v>
      </c>
    </row>
    <row r="4" spans="1:12" ht="15" thickBot="1" x14ac:dyDescent="0.4">
      <c r="A4" s="8" t="s">
        <v>146</v>
      </c>
      <c r="B4" s="6" t="s">
        <v>287</v>
      </c>
      <c r="C4" s="6" t="s">
        <v>109</v>
      </c>
      <c r="D4" s="6" t="s">
        <v>47</v>
      </c>
      <c r="E4" s="6" t="s">
        <v>147</v>
      </c>
      <c r="F4" s="14">
        <v>6941764433496</v>
      </c>
      <c r="G4" s="6">
        <v>33999</v>
      </c>
      <c r="H4" s="4">
        <v>35999</v>
      </c>
      <c r="I4" s="6">
        <v>2000</v>
      </c>
      <c r="J4" s="6" t="s">
        <v>113</v>
      </c>
      <c r="K4" s="6" t="s">
        <v>53</v>
      </c>
      <c r="L4" s="6" t="s">
        <v>53</v>
      </c>
    </row>
    <row r="5" spans="1:12" ht="15" thickBot="1" x14ac:dyDescent="0.4">
      <c r="A5" s="8" t="s">
        <v>146</v>
      </c>
      <c r="B5" s="6" t="s">
        <v>288</v>
      </c>
      <c r="C5" s="6" t="s">
        <v>109</v>
      </c>
      <c r="D5" s="6" t="s">
        <v>47</v>
      </c>
      <c r="E5" s="6" t="s">
        <v>147</v>
      </c>
      <c r="F5" s="14">
        <v>6941764438699</v>
      </c>
      <c r="G5" s="6">
        <v>33999</v>
      </c>
      <c r="H5" s="4">
        <v>35999</v>
      </c>
      <c r="I5" s="6">
        <v>2000</v>
      </c>
      <c r="J5" s="6" t="s">
        <v>113</v>
      </c>
      <c r="K5" s="6" t="s">
        <v>53</v>
      </c>
      <c r="L5" s="6" t="s">
        <v>53</v>
      </c>
    </row>
    <row r="6" spans="1:12" ht="15" thickBot="1" x14ac:dyDescent="0.4">
      <c r="A6" s="8" t="s">
        <v>146</v>
      </c>
      <c r="B6" s="6" t="s">
        <v>289</v>
      </c>
      <c r="C6" s="6" t="s">
        <v>109</v>
      </c>
      <c r="D6" s="6" t="s">
        <v>49</v>
      </c>
      <c r="E6" s="6" t="s">
        <v>149</v>
      </c>
      <c r="F6" s="14">
        <v>6941764435735</v>
      </c>
      <c r="G6" s="6">
        <v>35999</v>
      </c>
      <c r="H6" s="4">
        <v>37999</v>
      </c>
      <c r="I6" s="6">
        <v>2000</v>
      </c>
      <c r="J6" s="6" t="s">
        <v>113</v>
      </c>
      <c r="K6" s="6" t="s">
        <v>53</v>
      </c>
      <c r="L6" s="6" t="s">
        <v>53</v>
      </c>
    </row>
    <row r="7" spans="1:12" ht="15" thickBot="1" x14ac:dyDescent="0.4">
      <c r="A7" s="8" t="s">
        <v>146</v>
      </c>
      <c r="B7" s="6" t="s">
        <v>290</v>
      </c>
      <c r="C7" s="6" t="s">
        <v>109</v>
      </c>
      <c r="D7" s="6" t="s">
        <v>49</v>
      </c>
      <c r="E7" s="6" t="s">
        <v>149</v>
      </c>
      <c r="F7" s="14">
        <v>6941764435704</v>
      </c>
      <c r="G7" s="6">
        <v>35999</v>
      </c>
      <c r="H7" s="4">
        <v>37999</v>
      </c>
      <c r="I7" s="6">
        <v>2000</v>
      </c>
      <c r="J7" s="6" t="s">
        <v>113</v>
      </c>
      <c r="K7" s="6" t="s">
        <v>53</v>
      </c>
      <c r="L7" s="6" t="s">
        <v>53</v>
      </c>
    </row>
    <row r="8" spans="1:12" ht="15" thickBot="1" x14ac:dyDescent="0.4">
      <c r="A8" s="8" t="s">
        <v>146</v>
      </c>
      <c r="B8" s="6" t="s">
        <v>326</v>
      </c>
      <c r="C8" s="6" t="s">
        <v>106</v>
      </c>
      <c r="D8" s="6" t="s">
        <v>52</v>
      </c>
      <c r="E8" s="6" t="s">
        <v>150</v>
      </c>
      <c r="F8" s="14">
        <v>6941764447462</v>
      </c>
      <c r="G8" s="6">
        <v>13999</v>
      </c>
      <c r="H8" s="4">
        <v>14999</v>
      </c>
      <c r="I8" s="6">
        <v>1000</v>
      </c>
      <c r="J8" s="6" t="s">
        <v>113</v>
      </c>
      <c r="K8" s="6" t="s">
        <v>53</v>
      </c>
      <c r="L8" s="6" t="s">
        <v>53</v>
      </c>
    </row>
    <row r="9" spans="1:12" ht="15" thickBot="1" x14ac:dyDescent="0.4">
      <c r="A9" s="8" t="s">
        <v>146</v>
      </c>
      <c r="B9" s="6" t="s">
        <v>327</v>
      </c>
      <c r="C9" s="6" t="s">
        <v>106</v>
      </c>
      <c r="D9" s="6" t="s">
        <v>52</v>
      </c>
      <c r="E9" s="6" t="s">
        <v>150</v>
      </c>
      <c r="F9" s="14">
        <v>6941764429642</v>
      </c>
      <c r="G9" s="6">
        <v>13999</v>
      </c>
      <c r="H9" s="4">
        <v>14999</v>
      </c>
      <c r="I9" s="6">
        <v>1000</v>
      </c>
      <c r="J9" s="6" t="s">
        <v>113</v>
      </c>
      <c r="K9" s="6" t="s">
        <v>53</v>
      </c>
      <c r="L9" s="6" t="s">
        <v>53</v>
      </c>
    </row>
    <row r="10" spans="1:12" ht="15" thickBot="1" x14ac:dyDescent="0.4">
      <c r="A10" s="8" t="s">
        <v>146</v>
      </c>
      <c r="B10" s="6" t="s">
        <v>328</v>
      </c>
      <c r="C10" s="6" t="s">
        <v>106</v>
      </c>
      <c r="D10" s="6" t="s">
        <v>52</v>
      </c>
      <c r="E10" s="6" t="s">
        <v>150</v>
      </c>
      <c r="F10" s="14">
        <v>6941764429598</v>
      </c>
      <c r="G10" s="6">
        <v>13999</v>
      </c>
      <c r="H10" s="4">
        <v>14999</v>
      </c>
      <c r="I10" s="6">
        <v>1000</v>
      </c>
      <c r="J10" s="6" t="s">
        <v>113</v>
      </c>
      <c r="K10" s="6" t="s">
        <v>53</v>
      </c>
      <c r="L10" s="6" t="s">
        <v>53</v>
      </c>
    </row>
    <row r="11" spans="1:12" ht="15" thickBot="1" x14ac:dyDescent="0.4">
      <c r="A11" s="8" t="s">
        <v>146</v>
      </c>
      <c r="B11" s="6" t="s">
        <v>329</v>
      </c>
      <c r="C11" s="6" t="s">
        <v>106</v>
      </c>
      <c r="D11" s="6" t="s">
        <v>45</v>
      </c>
      <c r="E11" s="6" t="s">
        <v>151</v>
      </c>
      <c r="F11" s="14">
        <v>6941764447479</v>
      </c>
      <c r="G11" s="6">
        <v>14999</v>
      </c>
      <c r="H11" s="4">
        <v>15999</v>
      </c>
      <c r="I11" s="6">
        <v>1000</v>
      </c>
      <c r="J11" s="6" t="s">
        <v>113</v>
      </c>
      <c r="K11" s="6" t="s">
        <v>53</v>
      </c>
      <c r="L11" s="6" t="s">
        <v>53</v>
      </c>
    </row>
    <row r="12" spans="1:12" ht="15" thickBot="1" x14ac:dyDescent="0.4">
      <c r="A12" s="8" t="s">
        <v>146</v>
      </c>
      <c r="B12" s="6" t="s">
        <v>330</v>
      </c>
      <c r="C12" s="6" t="s">
        <v>106</v>
      </c>
      <c r="D12" s="6" t="s">
        <v>45</v>
      </c>
      <c r="E12" s="6" t="s">
        <v>151</v>
      </c>
      <c r="F12" s="14">
        <v>6941764429628</v>
      </c>
      <c r="G12" s="6">
        <v>14999</v>
      </c>
      <c r="H12" s="4">
        <v>15999</v>
      </c>
      <c r="I12" s="6">
        <v>1000</v>
      </c>
      <c r="J12" s="6" t="s">
        <v>113</v>
      </c>
      <c r="K12" s="6" t="s">
        <v>53</v>
      </c>
      <c r="L12" s="6" t="s">
        <v>53</v>
      </c>
    </row>
    <row r="13" spans="1:12" ht="15" thickBot="1" x14ac:dyDescent="0.4">
      <c r="A13" s="8" t="s">
        <v>146</v>
      </c>
      <c r="B13" s="6" t="s">
        <v>331</v>
      </c>
      <c r="C13" s="6" t="s">
        <v>106</v>
      </c>
      <c r="D13" s="6" t="s">
        <v>45</v>
      </c>
      <c r="E13" s="6" t="s">
        <v>151</v>
      </c>
      <c r="F13" s="14">
        <v>6941764429604</v>
      </c>
      <c r="G13" s="6">
        <v>14999</v>
      </c>
      <c r="H13" s="4">
        <v>15999</v>
      </c>
      <c r="I13" s="6">
        <v>1000</v>
      </c>
      <c r="J13" s="6" t="s">
        <v>113</v>
      </c>
      <c r="K13" s="6" t="s">
        <v>53</v>
      </c>
      <c r="L13" s="6" t="s">
        <v>53</v>
      </c>
    </row>
    <row r="14" spans="1:12" ht="15" thickBot="1" x14ac:dyDescent="0.4">
      <c r="A14" s="8" t="s">
        <v>146</v>
      </c>
      <c r="B14" s="6" t="s">
        <v>332</v>
      </c>
      <c r="C14" s="6" t="s">
        <v>107</v>
      </c>
      <c r="D14" s="6" t="s">
        <v>45</v>
      </c>
      <c r="E14" s="6" t="s">
        <v>152</v>
      </c>
      <c r="F14" s="14">
        <v>6941764446564</v>
      </c>
      <c r="G14" s="6">
        <v>18999</v>
      </c>
      <c r="H14" s="4">
        <v>21999</v>
      </c>
      <c r="I14" s="6">
        <v>3000</v>
      </c>
      <c r="J14" s="6" t="s">
        <v>113</v>
      </c>
      <c r="K14" s="6" t="s">
        <v>53</v>
      </c>
      <c r="L14" s="6" t="s">
        <v>53</v>
      </c>
    </row>
    <row r="15" spans="1:12" ht="15" thickBot="1" x14ac:dyDescent="0.4">
      <c r="A15" s="8" t="s">
        <v>146</v>
      </c>
      <c r="B15" s="6" t="s">
        <v>333</v>
      </c>
      <c r="C15" s="6" t="s">
        <v>107</v>
      </c>
      <c r="D15" s="6" t="s">
        <v>45</v>
      </c>
      <c r="E15" s="6" t="s">
        <v>152</v>
      </c>
      <c r="F15" s="14">
        <v>6941764446526</v>
      </c>
      <c r="G15" s="6">
        <v>18999</v>
      </c>
      <c r="H15" s="4">
        <v>21999</v>
      </c>
      <c r="I15" s="6">
        <v>3000</v>
      </c>
      <c r="J15" s="6" t="s">
        <v>113</v>
      </c>
      <c r="K15" s="6" t="s">
        <v>53</v>
      </c>
      <c r="L15" s="6" t="s">
        <v>53</v>
      </c>
    </row>
    <row r="16" spans="1:12" ht="15" thickBot="1" x14ac:dyDescent="0.4">
      <c r="A16" s="8" t="s">
        <v>146</v>
      </c>
      <c r="B16" s="6" t="s">
        <v>334</v>
      </c>
      <c r="C16" s="6" t="s">
        <v>107</v>
      </c>
      <c r="D16" s="6" t="s">
        <v>49</v>
      </c>
      <c r="E16" s="6" t="s">
        <v>153</v>
      </c>
      <c r="F16" s="14">
        <v>6941764446588</v>
      </c>
      <c r="G16" s="6">
        <v>20999</v>
      </c>
      <c r="H16" s="4">
        <v>24999</v>
      </c>
      <c r="I16" s="6">
        <v>4000</v>
      </c>
      <c r="J16" s="6" t="s">
        <v>113</v>
      </c>
      <c r="K16" s="6" t="s">
        <v>53</v>
      </c>
      <c r="L16" s="6" t="s">
        <v>53</v>
      </c>
    </row>
    <row r="17" spans="1:12" ht="15" thickBot="1" x14ac:dyDescent="0.4">
      <c r="A17" s="8" t="s">
        <v>146</v>
      </c>
      <c r="B17" s="6" t="s">
        <v>335</v>
      </c>
      <c r="C17" s="6" t="s">
        <v>107</v>
      </c>
      <c r="D17" s="6" t="s">
        <v>49</v>
      </c>
      <c r="E17" s="6" t="s">
        <v>153</v>
      </c>
      <c r="F17" s="14">
        <v>6941764446540</v>
      </c>
      <c r="G17" s="6">
        <v>20999</v>
      </c>
      <c r="H17" s="4">
        <v>24999</v>
      </c>
      <c r="I17" s="6">
        <v>4000</v>
      </c>
      <c r="J17" s="6" t="s">
        <v>113</v>
      </c>
      <c r="K17" s="6" t="s">
        <v>53</v>
      </c>
      <c r="L17" s="6" t="s">
        <v>53</v>
      </c>
    </row>
    <row r="18" spans="1:12" ht="15" thickBot="1" x14ac:dyDescent="0.4">
      <c r="A18" s="8" t="s">
        <v>146</v>
      </c>
      <c r="B18" s="6" t="s">
        <v>336</v>
      </c>
      <c r="C18" s="6" t="s">
        <v>107</v>
      </c>
      <c r="D18" s="6" t="s">
        <v>50</v>
      </c>
      <c r="E18" s="6" t="s">
        <v>154</v>
      </c>
      <c r="F18" s="14">
        <v>6941764446595</v>
      </c>
      <c r="G18" s="6">
        <v>23999</v>
      </c>
      <c r="H18" s="4">
        <v>27999</v>
      </c>
      <c r="I18" s="6">
        <v>4000</v>
      </c>
      <c r="J18" s="6" t="s">
        <v>113</v>
      </c>
      <c r="K18" s="6" t="s">
        <v>53</v>
      </c>
      <c r="L18" s="6" t="s">
        <v>53</v>
      </c>
    </row>
    <row r="19" spans="1:12" ht="15" thickBot="1" x14ac:dyDescent="0.4">
      <c r="A19" s="8" t="s">
        <v>146</v>
      </c>
      <c r="B19" s="6" t="s">
        <v>337</v>
      </c>
      <c r="C19" s="6" t="s">
        <v>107</v>
      </c>
      <c r="D19" s="6" t="s">
        <v>50</v>
      </c>
      <c r="E19" s="6" t="s">
        <v>154</v>
      </c>
      <c r="F19" s="14">
        <v>6941764446557</v>
      </c>
      <c r="G19" s="6">
        <v>23999</v>
      </c>
      <c r="H19" s="4">
        <v>27999</v>
      </c>
      <c r="I19" s="6">
        <v>4000</v>
      </c>
      <c r="J19" s="6" t="s">
        <v>113</v>
      </c>
      <c r="K19" s="6" t="s">
        <v>53</v>
      </c>
      <c r="L19" s="6" t="s">
        <v>53</v>
      </c>
    </row>
    <row r="20" spans="1:12" ht="15" thickBot="1" x14ac:dyDescent="0.4">
      <c r="A20" s="8" t="s">
        <v>146</v>
      </c>
      <c r="B20" s="6" t="s">
        <v>420</v>
      </c>
      <c r="C20" s="6" t="s">
        <v>108</v>
      </c>
      <c r="D20" s="6" t="s">
        <v>45</v>
      </c>
      <c r="E20" s="6" t="s">
        <v>156</v>
      </c>
      <c r="F20" s="14">
        <v>6941764458864</v>
      </c>
      <c r="G20" s="6">
        <v>24999</v>
      </c>
      <c r="H20" s="4">
        <v>26999</v>
      </c>
      <c r="I20" s="6">
        <v>3000</v>
      </c>
      <c r="J20" s="6" t="s">
        <v>113</v>
      </c>
      <c r="K20" s="6">
        <v>3000</v>
      </c>
      <c r="L20" s="6" t="s">
        <v>157</v>
      </c>
    </row>
    <row r="21" spans="1:12" ht="15" thickBot="1" x14ac:dyDescent="0.4">
      <c r="A21" s="8" t="s">
        <v>146</v>
      </c>
      <c r="B21" s="6" t="s">
        <v>421</v>
      </c>
      <c r="C21" s="6" t="s">
        <v>108</v>
      </c>
      <c r="D21" s="6" t="s">
        <v>45</v>
      </c>
      <c r="E21" s="6" t="s">
        <v>156</v>
      </c>
      <c r="F21" s="14">
        <v>6941764458871</v>
      </c>
      <c r="G21" s="6">
        <v>24999</v>
      </c>
      <c r="H21" s="4">
        <v>26999</v>
      </c>
      <c r="I21" s="6">
        <v>3000</v>
      </c>
      <c r="J21" s="6" t="s">
        <v>113</v>
      </c>
      <c r="K21" s="6">
        <v>3000</v>
      </c>
      <c r="L21" s="6" t="s">
        <v>157</v>
      </c>
    </row>
    <row r="22" spans="1:12" ht="15" thickBot="1" x14ac:dyDescent="0.4">
      <c r="A22" s="8" t="s">
        <v>146</v>
      </c>
      <c r="B22" s="6" t="s">
        <v>422</v>
      </c>
      <c r="C22" s="6" t="s">
        <v>108</v>
      </c>
      <c r="D22" s="6" t="s">
        <v>45</v>
      </c>
      <c r="E22" s="6" t="s">
        <v>156</v>
      </c>
      <c r="F22" s="14">
        <v>6941764458888</v>
      </c>
      <c r="G22" s="6">
        <v>24999</v>
      </c>
      <c r="H22" s="4">
        <v>26999</v>
      </c>
      <c r="I22" s="6">
        <v>3000</v>
      </c>
      <c r="J22" s="6" t="s">
        <v>113</v>
      </c>
      <c r="K22" s="6">
        <v>3000</v>
      </c>
      <c r="L22" s="6" t="s">
        <v>157</v>
      </c>
    </row>
    <row r="23" spans="1:12" ht="15" thickBot="1" x14ac:dyDescent="0.4">
      <c r="A23" s="8" t="s">
        <v>146</v>
      </c>
      <c r="B23" s="6" t="s">
        <v>423</v>
      </c>
      <c r="C23" s="6" t="s">
        <v>108</v>
      </c>
      <c r="D23" s="6" t="s">
        <v>47</v>
      </c>
      <c r="E23" s="6" t="s">
        <v>161</v>
      </c>
      <c r="F23" s="14">
        <v>6941764458895</v>
      </c>
      <c r="G23" s="6">
        <v>25999</v>
      </c>
      <c r="H23" s="4">
        <v>27999</v>
      </c>
      <c r="I23" s="6">
        <v>3000</v>
      </c>
      <c r="J23" s="6" t="s">
        <v>113</v>
      </c>
      <c r="K23" s="6">
        <v>3000</v>
      </c>
      <c r="L23" s="6" t="s">
        <v>157</v>
      </c>
    </row>
    <row r="24" spans="1:12" ht="15" thickBot="1" x14ac:dyDescent="0.4">
      <c r="A24" s="8" t="s">
        <v>146</v>
      </c>
      <c r="B24" s="6" t="s">
        <v>424</v>
      </c>
      <c r="C24" s="6" t="s">
        <v>108</v>
      </c>
      <c r="D24" s="6" t="s">
        <v>47</v>
      </c>
      <c r="E24" s="6" t="s">
        <v>161</v>
      </c>
      <c r="F24" s="14">
        <v>6941764458901</v>
      </c>
      <c r="G24" s="6">
        <v>25999</v>
      </c>
      <c r="H24" s="4">
        <v>27999</v>
      </c>
      <c r="I24" s="6">
        <v>3000</v>
      </c>
      <c r="J24" s="6" t="s">
        <v>113</v>
      </c>
      <c r="K24" s="6">
        <v>3000</v>
      </c>
      <c r="L24" s="6" t="s">
        <v>157</v>
      </c>
    </row>
    <row r="25" spans="1:12" ht="15" thickBot="1" x14ac:dyDescent="0.4">
      <c r="A25" s="8" t="s">
        <v>146</v>
      </c>
      <c r="B25" s="6" t="s">
        <v>425</v>
      </c>
      <c r="C25" s="6" t="s">
        <v>108</v>
      </c>
      <c r="D25" s="6" t="s">
        <v>47</v>
      </c>
      <c r="E25" s="6" t="s">
        <v>161</v>
      </c>
      <c r="F25" s="14">
        <v>6941764458918</v>
      </c>
      <c r="G25" s="6">
        <v>25999</v>
      </c>
      <c r="H25" s="4">
        <v>27999</v>
      </c>
      <c r="I25" s="6">
        <v>3000</v>
      </c>
      <c r="J25" s="6" t="s">
        <v>113</v>
      </c>
      <c r="K25" s="6">
        <v>3000</v>
      </c>
      <c r="L25" s="6" t="s">
        <v>157</v>
      </c>
    </row>
    <row r="26" spans="1:12" ht="15" thickBot="1" x14ac:dyDescent="0.4">
      <c r="A26" s="8" t="s">
        <v>146</v>
      </c>
      <c r="B26" s="6" t="s">
        <v>426</v>
      </c>
      <c r="C26" s="6" t="s">
        <v>108</v>
      </c>
      <c r="D26" s="6" t="s">
        <v>49</v>
      </c>
      <c r="E26" s="6" t="s">
        <v>165</v>
      </c>
      <c r="F26" s="14">
        <v>6941764458925</v>
      </c>
      <c r="G26" s="6">
        <v>27999</v>
      </c>
      <c r="H26" s="4">
        <v>29999</v>
      </c>
      <c r="I26" s="6">
        <v>3000</v>
      </c>
      <c r="J26" s="6" t="s">
        <v>113</v>
      </c>
      <c r="K26" s="6">
        <v>3000</v>
      </c>
      <c r="L26" s="6" t="s">
        <v>157</v>
      </c>
    </row>
    <row r="27" spans="1:12" ht="15" thickBot="1" x14ac:dyDescent="0.4">
      <c r="A27" s="8" t="s">
        <v>146</v>
      </c>
      <c r="B27" s="6" t="s">
        <v>427</v>
      </c>
      <c r="C27" s="6" t="s">
        <v>108</v>
      </c>
      <c r="D27" s="6" t="s">
        <v>49</v>
      </c>
      <c r="E27" s="6" t="s">
        <v>165</v>
      </c>
      <c r="F27" s="14">
        <v>6941764458932</v>
      </c>
      <c r="G27" s="6">
        <v>27999</v>
      </c>
      <c r="H27" s="4">
        <v>29999</v>
      </c>
      <c r="I27" s="6">
        <v>3000</v>
      </c>
      <c r="J27" s="6" t="s">
        <v>113</v>
      </c>
      <c r="K27" s="6">
        <v>3000</v>
      </c>
      <c r="L27" s="6" t="s">
        <v>157</v>
      </c>
    </row>
    <row r="28" spans="1:12" ht="15" thickBot="1" x14ac:dyDescent="0.4">
      <c r="A28" s="8" t="s">
        <v>146</v>
      </c>
      <c r="B28" s="6" t="s">
        <v>428</v>
      </c>
      <c r="C28" s="6" t="s">
        <v>108</v>
      </c>
      <c r="D28" s="6" t="s">
        <v>49</v>
      </c>
      <c r="E28" s="6" t="s">
        <v>165</v>
      </c>
      <c r="F28" s="14">
        <v>6941764458949</v>
      </c>
      <c r="G28" s="6">
        <v>27999</v>
      </c>
      <c r="H28" s="4">
        <v>29999</v>
      </c>
      <c r="I28" s="6">
        <v>3000</v>
      </c>
      <c r="J28" s="6" t="s">
        <v>113</v>
      </c>
      <c r="K28" s="6">
        <v>3000</v>
      </c>
      <c r="L28" s="6" t="s">
        <v>157</v>
      </c>
    </row>
    <row r="29" spans="1:12" ht="15" thickBot="1" x14ac:dyDescent="0.4">
      <c r="A29" s="8" t="s">
        <v>168</v>
      </c>
      <c r="B29" s="6" t="s">
        <v>384</v>
      </c>
      <c r="C29" s="6" t="s">
        <v>119</v>
      </c>
      <c r="D29" s="6" t="s">
        <v>45</v>
      </c>
      <c r="E29" s="6" t="s">
        <v>169</v>
      </c>
      <c r="F29" s="68">
        <v>6941764458642</v>
      </c>
      <c r="G29" s="6">
        <v>21999</v>
      </c>
      <c r="H29" s="4">
        <v>23999</v>
      </c>
      <c r="I29" s="6">
        <v>3500</v>
      </c>
      <c r="J29" s="6" t="s">
        <v>113</v>
      </c>
      <c r="K29" s="6">
        <v>3500</v>
      </c>
      <c r="L29" s="6" t="s">
        <v>157</v>
      </c>
    </row>
    <row r="30" spans="1:12" ht="15" thickBot="1" x14ac:dyDescent="0.4">
      <c r="A30" s="8" t="s">
        <v>168</v>
      </c>
      <c r="B30" s="6" t="s">
        <v>385</v>
      </c>
      <c r="C30" s="6" t="s">
        <v>119</v>
      </c>
      <c r="D30" s="6" t="s">
        <v>45</v>
      </c>
      <c r="E30" s="6" t="s">
        <v>169</v>
      </c>
      <c r="F30" s="68">
        <v>6941764458659</v>
      </c>
      <c r="G30" s="6">
        <v>21999</v>
      </c>
      <c r="H30" s="4">
        <v>23999</v>
      </c>
      <c r="I30" s="6">
        <v>3500</v>
      </c>
      <c r="J30" s="6" t="s">
        <v>113</v>
      </c>
      <c r="K30" s="6">
        <v>3500</v>
      </c>
      <c r="L30" s="6" t="s">
        <v>157</v>
      </c>
    </row>
    <row r="31" spans="1:12" ht="15" thickBot="1" x14ac:dyDescent="0.4">
      <c r="A31" s="8" t="s">
        <v>168</v>
      </c>
      <c r="B31" s="6" t="s">
        <v>386</v>
      </c>
      <c r="C31" s="6" t="s">
        <v>119</v>
      </c>
      <c r="D31" s="6" t="s">
        <v>45</v>
      </c>
      <c r="E31" s="6" t="s">
        <v>169</v>
      </c>
      <c r="F31" s="68">
        <v>6941764458666</v>
      </c>
      <c r="G31" s="6">
        <v>21999</v>
      </c>
      <c r="H31" s="4">
        <v>23999</v>
      </c>
      <c r="I31" s="6">
        <v>3500</v>
      </c>
      <c r="J31" s="6" t="s">
        <v>113</v>
      </c>
      <c r="K31" s="6">
        <v>3500</v>
      </c>
      <c r="L31" s="6" t="s">
        <v>157</v>
      </c>
    </row>
    <row r="32" spans="1:12" ht="15" thickBot="1" x14ac:dyDescent="0.4">
      <c r="A32" s="8" t="s">
        <v>168</v>
      </c>
      <c r="B32" s="6" t="s">
        <v>387</v>
      </c>
      <c r="C32" s="6" t="s">
        <v>119</v>
      </c>
      <c r="D32" s="6" t="s">
        <v>47</v>
      </c>
      <c r="E32" s="6" t="s">
        <v>170</v>
      </c>
      <c r="F32" s="68">
        <v>6941764458673</v>
      </c>
      <c r="G32" s="6">
        <v>22999</v>
      </c>
      <c r="H32" s="4">
        <v>24999</v>
      </c>
      <c r="I32" s="6">
        <v>3500</v>
      </c>
      <c r="J32" s="6" t="s">
        <v>113</v>
      </c>
      <c r="K32" s="6">
        <v>3500</v>
      </c>
      <c r="L32" s="6" t="s">
        <v>157</v>
      </c>
    </row>
    <row r="33" spans="1:12" ht="15" thickBot="1" x14ac:dyDescent="0.4">
      <c r="A33" s="8" t="s">
        <v>168</v>
      </c>
      <c r="B33" s="6" t="s">
        <v>388</v>
      </c>
      <c r="C33" s="6" t="s">
        <v>119</v>
      </c>
      <c r="D33" s="6" t="s">
        <v>47</v>
      </c>
      <c r="E33" s="6" t="s">
        <v>170</v>
      </c>
      <c r="F33" s="68">
        <v>6941764458680</v>
      </c>
      <c r="G33" s="6">
        <v>22999</v>
      </c>
      <c r="H33" s="4">
        <v>24999</v>
      </c>
      <c r="I33" s="6">
        <v>3500</v>
      </c>
      <c r="J33" s="6" t="s">
        <v>113</v>
      </c>
      <c r="K33" s="6">
        <v>3500</v>
      </c>
      <c r="L33" s="6" t="s">
        <v>157</v>
      </c>
    </row>
    <row r="34" spans="1:12" ht="15" thickBot="1" x14ac:dyDescent="0.4">
      <c r="A34" s="8" t="s">
        <v>168</v>
      </c>
      <c r="B34" s="6" t="s">
        <v>389</v>
      </c>
      <c r="C34" s="6" t="s">
        <v>119</v>
      </c>
      <c r="D34" s="6" t="s">
        <v>47</v>
      </c>
      <c r="E34" s="6" t="s">
        <v>170</v>
      </c>
      <c r="F34" s="68">
        <v>6941764458697</v>
      </c>
      <c r="G34" s="6">
        <v>22999</v>
      </c>
      <c r="H34" s="4">
        <v>24999</v>
      </c>
      <c r="I34" s="6">
        <v>3500</v>
      </c>
      <c r="J34" s="6" t="s">
        <v>113</v>
      </c>
      <c r="K34" s="6">
        <v>3500</v>
      </c>
      <c r="L34" s="6" t="s">
        <v>157</v>
      </c>
    </row>
    <row r="35" spans="1:12" ht="15" thickBot="1" x14ac:dyDescent="0.4">
      <c r="A35" s="8" t="s">
        <v>168</v>
      </c>
      <c r="B35" s="6" t="s">
        <v>390</v>
      </c>
      <c r="C35" s="6" t="s">
        <v>119</v>
      </c>
      <c r="D35" s="6" t="s">
        <v>49</v>
      </c>
      <c r="E35" s="6" t="s">
        <v>171</v>
      </c>
      <c r="F35" s="68">
        <v>6941764458703</v>
      </c>
      <c r="G35" s="6">
        <v>24999</v>
      </c>
      <c r="H35" s="4">
        <v>26999</v>
      </c>
      <c r="I35" s="6">
        <v>4500</v>
      </c>
      <c r="J35" s="6" t="s">
        <v>113</v>
      </c>
      <c r="K35" s="6">
        <v>4500</v>
      </c>
      <c r="L35" s="6" t="s">
        <v>157</v>
      </c>
    </row>
    <row r="36" spans="1:12" ht="15" thickBot="1" x14ac:dyDescent="0.4">
      <c r="A36" s="8" t="s">
        <v>168</v>
      </c>
      <c r="B36" s="6" t="s">
        <v>391</v>
      </c>
      <c r="C36" s="6" t="s">
        <v>119</v>
      </c>
      <c r="D36" s="6" t="s">
        <v>49</v>
      </c>
      <c r="E36" s="6" t="s">
        <v>171</v>
      </c>
      <c r="F36" s="68">
        <v>6941764458710</v>
      </c>
      <c r="G36" s="6">
        <v>24999</v>
      </c>
      <c r="H36" s="4">
        <v>26999</v>
      </c>
      <c r="I36" s="6">
        <v>4500</v>
      </c>
      <c r="J36" s="6" t="s">
        <v>113</v>
      </c>
      <c r="K36" s="6">
        <v>4500</v>
      </c>
      <c r="L36" s="6" t="s">
        <v>157</v>
      </c>
    </row>
    <row r="37" spans="1:12" ht="15" thickBot="1" x14ac:dyDescent="0.4">
      <c r="A37" s="8" t="s">
        <v>168</v>
      </c>
      <c r="B37" s="6" t="s">
        <v>392</v>
      </c>
      <c r="C37" s="6" t="s">
        <v>119</v>
      </c>
      <c r="D37" s="6" t="s">
        <v>49</v>
      </c>
      <c r="E37" s="6" t="s">
        <v>171</v>
      </c>
      <c r="F37" s="68">
        <v>6941764458727</v>
      </c>
      <c r="G37" s="6">
        <v>24999</v>
      </c>
      <c r="H37" s="4">
        <v>26999</v>
      </c>
      <c r="I37" s="6">
        <v>4500</v>
      </c>
      <c r="J37" s="6" t="s">
        <v>113</v>
      </c>
      <c r="K37" s="6">
        <v>4500</v>
      </c>
      <c r="L37" s="6" t="s">
        <v>157</v>
      </c>
    </row>
    <row r="38" spans="1:12" ht="15" thickBot="1" x14ac:dyDescent="0.4">
      <c r="A38" s="8" t="s">
        <v>172</v>
      </c>
      <c r="B38" s="6" t="s">
        <v>384</v>
      </c>
      <c r="C38" s="6" t="s">
        <v>119</v>
      </c>
      <c r="D38" s="6" t="s">
        <v>45</v>
      </c>
      <c r="E38" s="6" t="s">
        <v>169</v>
      </c>
      <c r="F38" s="68">
        <v>6941764458642</v>
      </c>
      <c r="G38" s="6">
        <v>21999</v>
      </c>
      <c r="H38" s="4">
        <v>23999</v>
      </c>
      <c r="I38" s="6">
        <v>2000</v>
      </c>
      <c r="J38" s="6" t="s">
        <v>113</v>
      </c>
      <c r="K38" s="6">
        <v>2000</v>
      </c>
      <c r="L38" s="6" t="s">
        <v>157</v>
      </c>
    </row>
    <row r="39" spans="1:12" ht="15" thickBot="1" x14ac:dyDescent="0.4">
      <c r="A39" s="8" t="s">
        <v>172</v>
      </c>
      <c r="B39" s="6" t="s">
        <v>385</v>
      </c>
      <c r="C39" s="6" t="s">
        <v>119</v>
      </c>
      <c r="D39" s="6" t="s">
        <v>45</v>
      </c>
      <c r="E39" s="6" t="s">
        <v>169</v>
      </c>
      <c r="F39" s="68">
        <v>6941764458659</v>
      </c>
      <c r="G39" s="6">
        <v>21999</v>
      </c>
      <c r="H39" s="4">
        <v>23999</v>
      </c>
      <c r="I39" s="6">
        <v>2000</v>
      </c>
      <c r="J39" s="6" t="s">
        <v>113</v>
      </c>
      <c r="K39" s="6">
        <v>2000</v>
      </c>
      <c r="L39" s="6" t="s">
        <v>157</v>
      </c>
    </row>
    <row r="40" spans="1:12" ht="15" thickBot="1" x14ac:dyDescent="0.4">
      <c r="A40" s="8" t="s">
        <v>172</v>
      </c>
      <c r="B40" s="6" t="s">
        <v>386</v>
      </c>
      <c r="C40" s="6" t="s">
        <v>119</v>
      </c>
      <c r="D40" s="6" t="s">
        <v>45</v>
      </c>
      <c r="E40" s="6" t="s">
        <v>169</v>
      </c>
      <c r="F40" s="68">
        <v>6941764458666</v>
      </c>
      <c r="G40" s="6">
        <v>21999</v>
      </c>
      <c r="H40" s="4">
        <v>23999</v>
      </c>
      <c r="I40" s="6">
        <v>2000</v>
      </c>
      <c r="J40" s="6" t="s">
        <v>113</v>
      </c>
      <c r="K40" s="6">
        <v>2000</v>
      </c>
      <c r="L40" s="6" t="s">
        <v>157</v>
      </c>
    </row>
    <row r="41" spans="1:12" ht="15" thickBot="1" x14ac:dyDescent="0.4">
      <c r="A41" s="8" t="s">
        <v>172</v>
      </c>
      <c r="B41" s="6" t="s">
        <v>387</v>
      </c>
      <c r="C41" s="6" t="s">
        <v>119</v>
      </c>
      <c r="D41" s="6" t="s">
        <v>47</v>
      </c>
      <c r="E41" s="6" t="s">
        <v>170</v>
      </c>
      <c r="F41" s="68">
        <v>6941764458673</v>
      </c>
      <c r="G41" s="6">
        <v>22999</v>
      </c>
      <c r="H41" s="4">
        <v>24999</v>
      </c>
      <c r="I41" s="6">
        <v>2000</v>
      </c>
      <c r="J41" s="6" t="s">
        <v>113</v>
      </c>
      <c r="K41" s="6">
        <v>2000</v>
      </c>
      <c r="L41" s="6" t="s">
        <v>157</v>
      </c>
    </row>
    <row r="42" spans="1:12" ht="15" thickBot="1" x14ac:dyDescent="0.4">
      <c r="A42" s="8" t="s">
        <v>172</v>
      </c>
      <c r="B42" s="6" t="s">
        <v>388</v>
      </c>
      <c r="C42" s="6" t="s">
        <v>119</v>
      </c>
      <c r="D42" s="6" t="s">
        <v>47</v>
      </c>
      <c r="E42" s="6" t="s">
        <v>170</v>
      </c>
      <c r="F42" s="68">
        <v>6941764458680</v>
      </c>
      <c r="G42" s="6">
        <v>22999</v>
      </c>
      <c r="H42" s="4">
        <v>24999</v>
      </c>
      <c r="I42" s="6">
        <v>2000</v>
      </c>
      <c r="J42" s="6" t="s">
        <v>113</v>
      </c>
      <c r="K42" s="6">
        <v>2000</v>
      </c>
      <c r="L42" s="6" t="s">
        <v>157</v>
      </c>
    </row>
    <row r="43" spans="1:12" ht="15" thickBot="1" x14ac:dyDescent="0.4">
      <c r="A43" s="8" t="s">
        <v>172</v>
      </c>
      <c r="B43" s="6" t="s">
        <v>389</v>
      </c>
      <c r="C43" s="6" t="s">
        <v>119</v>
      </c>
      <c r="D43" s="6" t="s">
        <v>47</v>
      </c>
      <c r="E43" s="6" t="s">
        <v>170</v>
      </c>
      <c r="F43" s="68">
        <v>6941764458697</v>
      </c>
      <c r="G43" s="6">
        <v>22999</v>
      </c>
      <c r="H43" s="4">
        <v>24999</v>
      </c>
      <c r="I43" s="6">
        <v>2000</v>
      </c>
      <c r="J43" s="6" t="s">
        <v>113</v>
      </c>
      <c r="K43" s="6">
        <v>2000</v>
      </c>
      <c r="L43" s="6" t="s">
        <v>157</v>
      </c>
    </row>
    <row r="44" spans="1:12" ht="15" thickBot="1" x14ac:dyDescent="0.4">
      <c r="A44" s="8" t="s">
        <v>172</v>
      </c>
      <c r="B44" s="6" t="s">
        <v>390</v>
      </c>
      <c r="C44" s="6" t="s">
        <v>119</v>
      </c>
      <c r="D44" s="6" t="s">
        <v>49</v>
      </c>
      <c r="E44" s="6" t="s">
        <v>171</v>
      </c>
      <c r="F44" s="68">
        <v>6941764458703</v>
      </c>
      <c r="G44" s="6">
        <v>24999</v>
      </c>
      <c r="H44" s="4">
        <v>26999</v>
      </c>
      <c r="I44" s="6">
        <v>3000</v>
      </c>
      <c r="J44" s="6" t="s">
        <v>113</v>
      </c>
      <c r="K44" s="6">
        <v>3000</v>
      </c>
      <c r="L44" s="6" t="s">
        <v>157</v>
      </c>
    </row>
    <row r="45" spans="1:12" ht="15" thickBot="1" x14ac:dyDescent="0.4">
      <c r="A45" s="8" t="s">
        <v>172</v>
      </c>
      <c r="B45" s="6" t="s">
        <v>391</v>
      </c>
      <c r="C45" s="6" t="s">
        <v>119</v>
      </c>
      <c r="D45" s="6" t="s">
        <v>49</v>
      </c>
      <c r="E45" s="6" t="s">
        <v>171</v>
      </c>
      <c r="F45" s="68">
        <v>6941764458710</v>
      </c>
      <c r="G45" s="6">
        <v>24999</v>
      </c>
      <c r="H45" s="4">
        <v>26999</v>
      </c>
      <c r="I45" s="6">
        <v>3000</v>
      </c>
      <c r="J45" s="6" t="s">
        <v>113</v>
      </c>
      <c r="K45" s="6">
        <v>3000</v>
      </c>
      <c r="L45" s="6" t="s">
        <v>157</v>
      </c>
    </row>
    <row r="46" spans="1:12" ht="15" thickBot="1" x14ac:dyDescent="0.4">
      <c r="A46" s="8" t="s">
        <v>172</v>
      </c>
      <c r="B46" s="6" t="s">
        <v>392</v>
      </c>
      <c r="C46" s="6" t="s">
        <v>119</v>
      </c>
      <c r="D46" s="6" t="s">
        <v>49</v>
      </c>
      <c r="E46" s="6" t="s">
        <v>171</v>
      </c>
      <c r="F46" s="68">
        <v>6941764458727</v>
      </c>
      <c r="G46" s="6">
        <v>24999</v>
      </c>
      <c r="H46" s="4">
        <v>26999</v>
      </c>
      <c r="I46" s="6">
        <v>3000</v>
      </c>
      <c r="J46" s="6" t="s">
        <v>113</v>
      </c>
      <c r="K46" s="6">
        <v>3000</v>
      </c>
      <c r="L46" s="6" t="s">
        <v>157</v>
      </c>
    </row>
    <row r="48" spans="1:12" ht="15.5" x14ac:dyDescent="0.35">
      <c r="A48" s="12"/>
    </row>
    <row r="49" spans="1:5" ht="15" thickBot="1" x14ac:dyDescent="0.4"/>
    <row r="50" spans="1:5" ht="15" thickBot="1" x14ac:dyDescent="0.4">
      <c r="A50" s="19"/>
      <c r="B50" s="97" t="s">
        <v>41</v>
      </c>
      <c r="C50" s="98"/>
      <c r="D50" s="107" t="s">
        <v>43</v>
      </c>
      <c r="E50" s="121"/>
    </row>
    <row r="51" spans="1:5" ht="15" thickBot="1" x14ac:dyDescent="0.4">
      <c r="A51" s="22" t="s">
        <v>56</v>
      </c>
      <c r="B51" s="23" t="s">
        <v>57</v>
      </c>
      <c r="C51" s="23" t="s">
        <v>418</v>
      </c>
      <c r="D51" s="23" t="s">
        <v>57</v>
      </c>
      <c r="E51" s="23" t="s">
        <v>418</v>
      </c>
    </row>
    <row r="52" spans="1:5" ht="15" thickBot="1" x14ac:dyDescent="0.4">
      <c r="A52" s="24" t="s">
        <v>59</v>
      </c>
      <c r="B52" s="25">
        <v>0.55000000000000004</v>
      </c>
      <c r="C52" s="25">
        <v>0.45</v>
      </c>
      <c r="D52" s="23" t="s">
        <v>60</v>
      </c>
      <c r="E52" s="23" t="s">
        <v>60</v>
      </c>
    </row>
    <row r="53" spans="1:5" ht="15" thickBot="1" x14ac:dyDescent="0.4">
      <c r="A53" s="24" t="s">
        <v>61</v>
      </c>
      <c r="B53" s="25">
        <v>0.5</v>
      </c>
      <c r="C53" s="25">
        <v>0.5</v>
      </c>
      <c r="D53" s="23" t="s">
        <v>60</v>
      </c>
      <c r="E53" s="23" t="s">
        <v>60</v>
      </c>
    </row>
    <row r="54" spans="1:5" ht="15" thickBot="1" x14ac:dyDescent="0.4">
      <c r="A54" s="24" t="s">
        <v>62</v>
      </c>
      <c r="B54" s="25">
        <v>0.7</v>
      </c>
      <c r="C54" s="25">
        <v>0.3</v>
      </c>
      <c r="D54" s="23" t="s">
        <v>60</v>
      </c>
      <c r="E54" s="23" t="s">
        <v>60</v>
      </c>
    </row>
    <row r="55" spans="1:5" ht="15" thickBot="1" x14ac:dyDescent="0.4">
      <c r="A55" s="24" t="s">
        <v>63</v>
      </c>
      <c r="B55" s="25">
        <v>0.8</v>
      </c>
      <c r="C55" s="25">
        <v>0.2</v>
      </c>
      <c r="D55" s="23" t="s">
        <v>60</v>
      </c>
      <c r="E55" s="23" t="s">
        <v>60</v>
      </c>
    </row>
    <row r="56" spans="1:5" ht="15" thickBot="1" x14ac:dyDescent="0.4">
      <c r="A56" s="24" t="s">
        <v>64</v>
      </c>
      <c r="B56" s="25">
        <v>0.35</v>
      </c>
      <c r="C56" s="25">
        <v>0.65</v>
      </c>
      <c r="D56" s="25">
        <v>0</v>
      </c>
      <c r="E56" s="25">
        <v>1</v>
      </c>
    </row>
    <row r="57" spans="1:5" ht="15" thickBot="1" x14ac:dyDescent="0.4">
      <c r="A57" s="24" t="s">
        <v>66</v>
      </c>
      <c r="B57" s="23" t="s">
        <v>60</v>
      </c>
      <c r="C57" s="23" t="s">
        <v>60</v>
      </c>
      <c r="D57" s="25">
        <v>0</v>
      </c>
      <c r="E57" s="25">
        <v>1</v>
      </c>
    </row>
    <row r="58" spans="1:5" ht="15" thickBot="1" x14ac:dyDescent="0.4">
      <c r="A58" s="24" t="s">
        <v>67</v>
      </c>
      <c r="B58" s="25">
        <v>0.5</v>
      </c>
      <c r="C58" s="25">
        <v>0.5</v>
      </c>
      <c r="D58" s="23" t="s">
        <v>60</v>
      </c>
      <c r="E58" s="23" t="s">
        <v>60</v>
      </c>
    </row>
    <row r="59" spans="1:5" ht="15" thickBot="1" x14ac:dyDescent="0.4">
      <c r="A59" s="24" t="s">
        <v>68</v>
      </c>
      <c r="B59" s="25">
        <v>0.3</v>
      </c>
      <c r="C59" s="25">
        <v>0.7</v>
      </c>
      <c r="D59" s="25">
        <v>0</v>
      </c>
      <c r="E59" s="25">
        <v>1</v>
      </c>
    </row>
    <row r="60" spans="1:5" ht="15" thickBot="1" x14ac:dyDescent="0.4">
      <c r="A60" s="24" t="s">
        <v>69</v>
      </c>
      <c r="B60" s="25">
        <v>0</v>
      </c>
      <c r="C60" s="25">
        <v>1</v>
      </c>
      <c r="D60" s="25">
        <v>0</v>
      </c>
      <c r="E60" s="25">
        <v>1</v>
      </c>
    </row>
    <row r="61" spans="1:5" ht="15" thickBot="1" x14ac:dyDescent="0.4">
      <c r="A61" s="24" t="s">
        <v>70</v>
      </c>
      <c r="B61" s="25">
        <v>0.9</v>
      </c>
      <c r="C61" s="25">
        <v>0.1</v>
      </c>
      <c r="D61" s="23" t="s">
        <v>60</v>
      </c>
      <c r="E61" s="23" t="s">
        <v>60</v>
      </c>
    </row>
    <row r="62" spans="1:5" ht="15" thickBot="1" x14ac:dyDescent="0.4">
      <c r="A62" s="24" t="s">
        <v>71</v>
      </c>
      <c r="B62" s="25">
        <v>0.5</v>
      </c>
      <c r="C62" s="25">
        <v>0.5</v>
      </c>
      <c r="D62" s="23" t="s">
        <v>60</v>
      </c>
      <c r="E62" s="23" t="s">
        <v>60</v>
      </c>
    </row>
    <row r="63" spans="1:5" ht="15" thickBot="1" x14ac:dyDescent="0.4">
      <c r="A63" s="24" t="s">
        <v>72</v>
      </c>
      <c r="B63" s="122" t="s">
        <v>173</v>
      </c>
      <c r="C63" s="123"/>
      <c r="D63" s="23" t="s">
        <v>60</v>
      </c>
      <c r="E63" s="23" t="s">
        <v>60</v>
      </c>
    </row>
    <row r="64" spans="1:5" ht="15" thickBot="1" x14ac:dyDescent="0.4">
      <c r="A64" s="24" t="s">
        <v>73</v>
      </c>
      <c r="B64" s="23" t="s">
        <v>60</v>
      </c>
      <c r="C64" s="23" t="s">
        <v>60</v>
      </c>
      <c r="D64" s="25">
        <v>0</v>
      </c>
      <c r="E64" s="25">
        <v>1</v>
      </c>
    </row>
    <row r="65" spans="1:5" ht="15" thickBot="1" x14ac:dyDescent="0.4">
      <c r="A65" s="24" t="s">
        <v>74</v>
      </c>
      <c r="B65" s="25">
        <v>0.9</v>
      </c>
      <c r="C65" s="25">
        <v>0.1</v>
      </c>
      <c r="D65" s="23" t="s">
        <v>60</v>
      </c>
      <c r="E65" s="23" t="s">
        <v>60</v>
      </c>
    </row>
    <row r="66" spans="1:5" x14ac:dyDescent="0.35">
      <c r="A66" s="19"/>
      <c r="B66" s="19"/>
      <c r="C66" s="19"/>
      <c r="D66" s="19"/>
      <c r="E66" s="19"/>
    </row>
    <row r="67" spans="1:5" x14ac:dyDescent="0.35">
      <c r="A67" s="67" t="s">
        <v>111</v>
      </c>
      <c r="B67" s="19"/>
      <c r="C67" s="19"/>
    </row>
  </sheetData>
  <mergeCells count="3">
    <mergeCell ref="B50:C50"/>
    <mergeCell ref="D50:E50"/>
    <mergeCell ref="B63:C6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61FC0-C4D7-48BD-8761-5A326F879D88}">
  <sheetPr filterMode="1"/>
  <dimension ref="A1:K71"/>
  <sheetViews>
    <sheetView topLeftCell="A20" workbookViewId="0">
      <selection activeCell="I29" sqref="I29"/>
    </sheetView>
  </sheetViews>
  <sheetFormatPr defaultRowHeight="14.5" x14ac:dyDescent="0.35"/>
  <cols>
    <col min="9" max="9" width="8.90625" bestFit="1" customWidth="1"/>
    <col min="10" max="10" width="10.90625" bestFit="1" customWidth="1"/>
  </cols>
  <sheetData>
    <row r="1" spans="1:9" ht="15.5" x14ac:dyDescent="0.35">
      <c r="A1" s="69"/>
    </row>
    <row r="2" spans="1:9" ht="16" x14ac:dyDescent="0.35">
      <c r="A2" s="70" t="s">
        <v>174</v>
      </c>
    </row>
    <row r="3" spans="1:9" ht="16" x14ac:dyDescent="0.35">
      <c r="A3" s="70"/>
    </row>
    <row r="4" spans="1:9" ht="16" x14ac:dyDescent="0.35">
      <c r="A4" s="70" t="s">
        <v>175</v>
      </c>
    </row>
    <row r="5" spans="1:9" ht="16" x14ac:dyDescent="0.35">
      <c r="A5" s="70"/>
    </row>
    <row r="6" spans="1:9" ht="16" x14ac:dyDescent="0.35">
      <c r="A6" s="70" t="s">
        <v>176</v>
      </c>
    </row>
    <row r="7" spans="1:9" ht="16" x14ac:dyDescent="0.35">
      <c r="A7" s="70"/>
    </row>
    <row r="8" spans="1:9" ht="16" x14ac:dyDescent="0.35">
      <c r="A8" s="70" t="s">
        <v>177</v>
      </c>
    </row>
    <row r="9" spans="1:9" ht="16.5" thickBot="1" x14ac:dyDescent="0.4">
      <c r="A9" s="70"/>
    </row>
    <row r="10" spans="1:9" ht="80.5" thickBot="1" x14ac:dyDescent="0.4">
      <c r="A10" s="71" t="s">
        <v>133</v>
      </c>
      <c r="B10" s="72" t="s">
        <v>38</v>
      </c>
      <c r="C10" s="72" t="s">
        <v>104</v>
      </c>
      <c r="D10" s="72" t="s">
        <v>40</v>
      </c>
      <c r="E10" s="72" t="s">
        <v>3</v>
      </c>
      <c r="F10" s="72" t="s">
        <v>178</v>
      </c>
      <c r="G10" s="72" t="s">
        <v>179</v>
      </c>
      <c r="H10" s="72" t="s">
        <v>180</v>
      </c>
    </row>
    <row r="11" spans="1:9" ht="48.5" hidden="1" thickBot="1" x14ac:dyDescent="0.4">
      <c r="A11" s="73" t="s">
        <v>9</v>
      </c>
      <c r="B11" s="74" t="s">
        <v>44</v>
      </c>
      <c r="C11" s="74" t="s">
        <v>45</v>
      </c>
      <c r="D11" s="74">
        <v>22999</v>
      </c>
      <c r="E11" s="74">
        <v>24999</v>
      </c>
      <c r="F11" s="75">
        <v>2000</v>
      </c>
      <c r="G11" s="74">
        <v>400</v>
      </c>
      <c r="H11" s="76">
        <v>19600</v>
      </c>
      <c r="I11" s="84">
        <f>G11/F11</f>
        <v>0.2</v>
      </c>
    </row>
    <row r="12" spans="1:9" ht="48.5" hidden="1" thickBot="1" x14ac:dyDescent="0.4">
      <c r="A12" s="73" t="s">
        <v>9</v>
      </c>
      <c r="B12" s="74" t="s">
        <v>44</v>
      </c>
      <c r="C12" s="74" t="s">
        <v>47</v>
      </c>
      <c r="D12" s="74">
        <v>24999</v>
      </c>
      <c r="E12" s="74">
        <v>26999</v>
      </c>
      <c r="F12" s="75">
        <v>2000</v>
      </c>
      <c r="G12" s="74">
        <v>400</v>
      </c>
      <c r="H12" s="76">
        <v>21400</v>
      </c>
      <c r="I12" s="84">
        <f t="shared" ref="I12:I26" si="0">G12/F12</f>
        <v>0.2</v>
      </c>
    </row>
    <row r="13" spans="1:9" ht="48.5" hidden="1" thickBot="1" x14ac:dyDescent="0.4">
      <c r="A13" s="73" t="s">
        <v>9</v>
      </c>
      <c r="B13" s="74" t="s">
        <v>48</v>
      </c>
      <c r="C13" s="74" t="s">
        <v>45</v>
      </c>
      <c r="D13" s="74">
        <v>27999</v>
      </c>
      <c r="E13" s="74">
        <v>29999</v>
      </c>
      <c r="F13" s="75">
        <v>2000</v>
      </c>
      <c r="G13" s="74">
        <v>400</v>
      </c>
      <c r="H13" s="76">
        <v>24300</v>
      </c>
      <c r="I13" s="84">
        <f t="shared" si="0"/>
        <v>0.2</v>
      </c>
    </row>
    <row r="14" spans="1:9" ht="48.5" hidden="1" thickBot="1" x14ac:dyDescent="0.4">
      <c r="A14" s="73" t="s">
        <v>9</v>
      </c>
      <c r="B14" s="74" t="s">
        <v>48</v>
      </c>
      <c r="C14" s="74" t="s">
        <v>47</v>
      </c>
      <c r="D14" s="74">
        <v>29999</v>
      </c>
      <c r="E14" s="74">
        <v>31999</v>
      </c>
      <c r="F14" s="75">
        <v>2000</v>
      </c>
      <c r="G14" s="74">
        <v>400</v>
      </c>
      <c r="H14" s="76">
        <v>26100</v>
      </c>
      <c r="I14" s="84">
        <f t="shared" si="0"/>
        <v>0.2</v>
      </c>
    </row>
    <row r="15" spans="1:9" ht="48.5" hidden="1" thickBot="1" x14ac:dyDescent="0.4">
      <c r="A15" s="73" t="s">
        <v>9</v>
      </c>
      <c r="B15" s="74" t="s">
        <v>48</v>
      </c>
      <c r="C15" s="74" t="s">
        <v>49</v>
      </c>
      <c r="D15" s="74">
        <v>31999</v>
      </c>
      <c r="E15" s="74">
        <v>34999</v>
      </c>
      <c r="F15" s="75">
        <v>3000</v>
      </c>
      <c r="G15" s="74">
        <v>600</v>
      </c>
      <c r="H15" s="76">
        <v>27000</v>
      </c>
      <c r="I15" s="84">
        <f t="shared" si="0"/>
        <v>0.2</v>
      </c>
    </row>
    <row r="16" spans="1:9" ht="48.5" hidden="1" thickBot="1" x14ac:dyDescent="0.4">
      <c r="A16" s="73" t="s">
        <v>9</v>
      </c>
      <c r="B16" s="74" t="s">
        <v>48</v>
      </c>
      <c r="C16" s="74" t="s">
        <v>50</v>
      </c>
      <c r="D16" s="74">
        <v>34999</v>
      </c>
      <c r="E16" s="74">
        <v>37999</v>
      </c>
      <c r="F16" s="75">
        <v>3000</v>
      </c>
      <c r="G16" s="74">
        <v>600</v>
      </c>
      <c r="H16" s="76">
        <v>29800</v>
      </c>
      <c r="I16" s="84">
        <f t="shared" si="0"/>
        <v>0.2</v>
      </c>
    </row>
    <row r="17" spans="1:11" ht="48.5" hidden="1" thickBot="1" x14ac:dyDescent="0.4">
      <c r="A17" s="73" t="s">
        <v>9</v>
      </c>
      <c r="B17" s="74" t="s">
        <v>51</v>
      </c>
      <c r="C17" s="74" t="s">
        <v>52</v>
      </c>
      <c r="D17" s="74">
        <v>13999</v>
      </c>
      <c r="E17" s="74">
        <v>14999</v>
      </c>
      <c r="F17" s="75">
        <v>1000</v>
      </c>
      <c r="G17" s="74">
        <v>200</v>
      </c>
      <c r="H17" s="76">
        <v>12200</v>
      </c>
      <c r="I17" s="84">
        <f t="shared" si="0"/>
        <v>0.2</v>
      </c>
    </row>
    <row r="18" spans="1:11" ht="48.5" hidden="1" thickBot="1" x14ac:dyDescent="0.4">
      <c r="A18" s="73" t="s">
        <v>9</v>
      </c>
      <c r="B18" s="74" t="s">
        <v>51</v>
      </c>
      <c r="C18" s="74" t="s">
        <v>45</v>
      </c>
      <c r="D18" s="74">
        <v>14999</v>
      </c>
      <c r="E18" s="74">
        <v>15999</v>
      </c>
      <c r="F18" s="75">
        <v>1000</v>
      </c>
      <c r="G18" s="74">
        <v>200</v>
      </c>
      <c r="H18" s="76">
        <v>13100</v>
      </c>
      <c r="I18" s="84">
        <f t="shared" si="0"/>
        <v>0.2</v>
      </c>
    </row>
    <row r="19" spans="1:11" ht="48.5" hidden="1" thickBot="1" x14ac:dyDescent="0.4">
      <c r="A19" s="73" t="s">
        <v>9</v>
      </c>
      <c r="B19" s="74" t="s">
        <v>181</v>
      </c>
      <c r="C19" s="74" t="s">
        <v>45</v>
      </c>
      <c r="D19" s="74">
        <v>28999</v>
      </c>
      <c r="E19" s="74">
        <v>30999</v>
      </c>
      <c r="F19" s="75">
        <v>2000</v>
      </c>
      <c r="G19" s="74">
        <v>400</v>
      </c>
      <c r="H19" s="76">
        <v>25200</v>
      </c>
      <c r="I19" s="84">
        <f t="shared" si="0"/>
        <v>0.2</v>
      </c>
    </row>
    <row r="20" spans="1:11" ht="48.5" thickBot="1" x14ac:dyDescent="0.4">
      <c r="A20" s="73" t="s">
        <v>9</v>
      </c>
      <c r="B20" s="74" t="s">
        <v>181</v>
      </c>
      <c r="C20" s="74" t="s">
        <v>47</v>
      </c>
      <c r="D20" s="74">
        <v>25999</v>
      </c>
      <c r="E20" s="74">
        <v>32999</v>
      </c>
      <c r="F20" s="75">
        <v>7000</v>
      </c>
      <c r="G20" s="77">
        <v>500</v>
      </c>
      <c r="H20" s="76">
        <v>17400</v>
      </c>
      <c r="I20" s="84">
        <f t="shared" si="0"/>
        <v>7.1428571428571425E-2</v>
      </c>
      <c r="J20" s="85">
        <f>F20-G20</f>
        <v>6500</v>
      </c>
      <c r="K20" s="84">
        <f>J20/F20</f>
        <v>0.9285714285714286</v>
      </c>
    </row>
    <row r="21" spans="1:11" ht="48.5" thickBot="1" x14ac:dyDescent="0.4">
      <c r="A21" s="73" t="s">
        <v>9</v>
      </c>
      <c r="B21" s="74" t="s">
        <v>181</v>
      </c>
      <c r="C21" s="74" t="s">
        <v>49</v>
      </c>
      <c r="D21" s="74">
        <v>27999</v>
      </c>
      <c r="E21" s="74">
        <v>35999</v>
      </c>
      <c r="F21" s="75">
        <v>8000</v>
      </c>
      <c r="G21" s="77">
        <v>500</v>
      </c>
      <c r="H21" s="76">
        <v>18300</v>
      </c>
      <c r="I21" s="84">
        <f t="shared" si="0"/>
        <v>6.25E-2</v>
      </c>
      <c r="J21" s="85">
        <f>F21-G21</f>
        <v>7500</v>
      </c>
      <c r="K21" s="84">
        <f>J21/F21</f>
        <v>0.9375</v>
      </c>
    </row>
    <row r="22" spans="1:11" ht="48.5" hidden="1" thickBot="1" x14ac:dyDescent="0.4">
      <c r="A22" s="73" t="s">
        <v>9</v>
      </c>
      <c r="B22" s="74" t="s">
        <v>181</v>
      </c>
      <c r="C22" s="74" t="s">
        <v>50</v>
      </c>
      <c r="D22" s="74">
        <v>37999</v>
      </c>
      <c r="E22" s="74">
        <v>39999</v>
      </c>
      <c r="F22" s="75">
        <v>2000</v>
      </c>
      <c r="G22" s="74">
        <v>400</v>
      </c>
      <c r="H22" s="76">
        <v>33600</v>
      </c>
      <c r="I22" s="84">
        <f t="shared" si="0"/>
        <v>0.2</v>
      </c>
      <c r="J22" s="84"/>
    </row>
    <row r="23" spans="1:11" ht="48.5" hidden="1" thickBot="1" x14ac:dyDescent="0.4">
      <c r="A23" s="73" t="s">
        <v>9</v>
      </c>
      <c r="B23" s="74" t="s">
        <v>54</v>
      </c>
      <c r="C23" s="74" t="s">
        <v>49</v>
      </c>
      <c r="D23" s="74">
        <v>59999</v>
      </c>
      <c r="E23" s="74">
        <v>62999</v>
      </c>
      <c r="F23" s="75">
        <v>3000</v>
      </c>
      <c r="G23" s="74">
        <v>600</v>
      </c>
      <c r="H23" s="76">
        <v>53200</v>
      </c>
      <c r="I23" s="84">
        <f t="shared" si="0"/>
        <v>0.2</v>
      </c>
      <c r="J23" s="84"/>
    </row>
    <row r="24" spans="1:11" ht="48.5" hidden="1" thickBot="1" x14ac:dyDescent="0.4">
      <c r="A24" s="73" t="s">
        <v>9</v>
      </c>
      <c r="B24" s="74" t="s">
        <v>54</v>
      </c>
      <c r="C24" s="74" t="s">
        <v>55</v>
      </c>
      <c r="D24" s="74">
        <v>64999</v>
      </c>
      <c r="E24" s="74">
        <v>67999</v>
      </c>
      <c r="F24" s="75">
        <v>3000</v>
      </c>
      <c r="G24" s="74">
        <v>600</v>
      </c>
      <c r="H24" s="76">
        <v>57900</v>
      </c>
      <c r="I24" s="84">
        <f t="shared" si="0"/>
        <v>0.2</v>
      </c>
      <c r="J24" s="84"/>
    </row>
    <row r="25" spans="1:11" ht="48.5" hidden="1" thickBot="1" x14ac:dyDescent="0.4">
      <c r="A25" s="73" t="s">
        <v>9</v>
      </c>
      <c r="B25" s="74" t="s">
        <v>106</v>
      </c>
      <c r="C25" s="74" t="s">
        <v>52</v>
      </c>
      <c r="D25" s="74">
        <v>13999</v>
      </c>
      <c r="E25" s="74">
        <v>14999</v>
      </c>
      <c r="F25" s="75">
        <v>1000</v>
      </c>
      <c r="G25" s="74">
        <v>200</v>
      </c>
      <c r="H25" s="76">
        <v>12200</v>
      </c>
      <c r="I25" s="84">
        <f t="shared" si="0"/>
        <v>0.2</v>
      </c>
      <c r="J25" s="84"/>
    </row>
    <row r="26" spans="1:11" ht="48.5" hidden="1" thickBot="1" x14ac:dyDescent="0.4">
      <c r="A26" s="73" t="s">
        <v>9</v>
      </c>
      <c r="B26" s="74" t="s">
        <v>106</v>
      </c>
      <c r="C26" s="74" t="s">
        <v>45</v>
      </c>
      <c r="D26" s="74">
        <v>14999</v>
      </c>
      <c r="E26" s="74">
        <v>15999</v>
      </c>
      <c r="F26" s="75">
        <v>1000</v>
      </c>
      <c r="G26" s="74">
        <v>200</v>
      </c>
      <c r="H26" s="76">
        <v>13100</v>
      </c>
      <c r="I26" s="84">
        <f t="shared" si="0"/>
        <v>0.2</v>
      </c>
      <c r="J26" s="84"/>
    </row>
    <row r="27" spans="1:11" ht="48.5" thickBot="1" x14ac:dyDescent="0.4">
      <c r="A27" s="73" t="s">
        <v>9</v>
      </c>
      <c r="B27" s="74" t="s">
        <v>182</v>
      </c>
      <c r="C27" s="74" t="s">
        <v>45</v>
      </c>
      <c r="D27" s="74">
        <v>18999</v>
      </c>
      <c r="E27" s="74">
        <v>21999</v>
      </c>
      <c r="F27" s="75">
        <v>3000</v>
      </c>
      <c r="G27" s="77">
        <v>400</v>
      </c>
      <c r="H27" s="76">
        <v>14800</v>
      </c>
      <c r="I27">
        <f>G27/F27*100</f>
        <v>13.333333333333334</v>
      </c>
      <c r="J27" s="85">
        <f>F27-G27</f>
        <v>2600</v>
      </c>
      <c r="K27" s="84">
        <f>J27/F27</f>
        <v>0.8666666666666667</v>
      </c>
    </row>
    <row r="28" spans="1:11" ht="48.5" thickBot="1" x14ac:dyDescent="0.4">
      <c r="A28" s="73" t="s">
        <v>9</v>
      </c>
      <c r="B28" s="74" t="s">
        <v>182</v>
      </c>
      <c r="C28" s="74" t="s">
        <v>49</v>
      </c>
      <c r="D28" s="74">
        <v>20999</v>
      </c>
      <c r="E28" s="74">
        <v>24999</v>
      </c>
      <c r="F28" s="75">
        <v>4000</v>
      </c>
      <c r="G28" s="77">
        <v>450</v>
      </c>
      <c r="H28" s="76">
        <v>15700</v>
      </c>
      <c r="I28">
        <f>G28/F28*100</f>
        <v>11.25</v>
      </c>
      <c r="J28" s="85">
        <f>F28-G28</f>
        <v>3550</v>
      </c>
      <c r="K28" s="84">
        <f>J28/F28</f>
        <v>0.88749999999999996</v>
      </c>
    </row>
    <row r="29" spans="1:11" ht="48.5" thickBot="1" x14ac:dyDescent="0.4">
      <c r="A29" s="73" t="s">
        <v>9</v>
      </c>
      <c r="B29" s="74" t="s">
        <v>182</v>
      </c>
      <c r="C29" s="74" t="s">
        <v>50</v>
      </c>
      <c r="D29" s="74">
        <v>23999</v>
      </c>
      <c r="E29" s="74">
        <v>27999</v>
      </c>
      <c r="F29" s="75">
        <v>4000</v>
      </c>
      <c r="G29" s="77">
        <v>500</v>
      </c>
      <c r="H29" s="76">
        <v>18500</v>
      </c>
      <c r="I29">
        <f>G29/F29*100</f>
        <v>12.5</v>
      </c>
      <c r="J29" s="85">
        <f>F29-G29</f>
        <v>3500</v>
      </c>
      <c r="K29" s="84">
        <f>J29/F29</f>
        <v>0.875</v>
      </c>
    </row>
    <row r="30" spans="1:11" ht="48.5" hidden="1" thickBot="1" x14ac:dyDescent="0.4">
      <c r="A30" s="73" t="s">
        <v>9</v>
      </c>
      <c r="B30" s="74" t="s">
        <v>108</v>
      </c>
      <c r="C30" s="74" t="s">
        <v>45</v>
      </c>
      <c r="D30" s="74">
        <v>24999</v>
      </c>
      <c r="E30" s="74">
        <v>26999</v>
      </c>
      <c r="F30" s="75">
        <v>2000</v>
      </c>
      <c r="G30" s="74">
        <v>400</v>
      </c>
      <c r="H30" s="76">
        <v>21400</v>
      </c>
      <c r="I30" s="66">
        <f>G30/F30</f>
        <v>0.2</v>
      </c>
    </row>
    <row r="31" spans="1:11" ht="48.5" hidden="1" thickBot="1" x14ac:dyDescent="0.4">
      <c r="A31" s="73" t="s">
        <v>9</v>
      </c>
      <c r="B31" s="74" t="s">
        <v>108</v>
      </c>
      <c r="C31" s="74" t="s">
        <v>47</v>
      </c>
      <c r="D31" s="74">
        <v>25999</v>
      </c>
      <c r="E31" s="74">
        <v>27999</v>
      </c>
      <c r="F31" s="75">
        <v>2000</v>
      </c>
      <c r="G31" s="74">
        <v>400</v>
      </c>
      <c r="H31" s="76">
        <v>22400</v>
      </c>
      <c r="I31" s="66">
        <f t="shared" ref="I31:I37" si="1">G31/F31</f>
        <v>0.2</v>
      </c>
    </row>
    <row r="32" spans="1:11" ht="48.5" hidden="1" thickBot="1" x14ac:dyDescent="0.4">
      <c r="A32" s="73" t="s">
        <v>9</v>
      </c>
      <c r="B32" s="74" t="s">
        <v>108</v>
      </c>
      <c r="C32" s="74" t="s">
        <v>49</v>
      </c>
      <c r="D32" s="74">
        <v>27999</v>
      </c>
      <c r="E32" s="74">
        <v>29999</v>
      </c>
      <c r="F32" s="75">
        <v>2000</v>
      </c>
      <c r="G32" s="74">
        <v>400</v>
      </c>
      <c r="H32" s="76">
        <v>24300</v>
      </c>
      <c r="I32" s="66">
        <f t="shared" si="1"/>
        <v>0.2</v>
      </c>
    </row>
    <row r="33" spans="1:9" ht="48.5" hidden="1" thickBot="1" x14ac:dyDescent="0.4">
      <c r="A33" s="73" t="s">
        <v>9</v>
      </c>
      <c r="B33" s="74" t="s">
        <v>119</v>
      </c>
      <c r="C33" s="74" t="s">
        <v>45</v>
      </c>
      <c r="D33" s="74">
        <v>21999</v>
      </c>
      <c r="E33" s="74">
        <v>23999</v>
      </c>
      <c r="F33" s="75">
        <v>2000</v>
      </c>
      <c r="G33" s="74">
        <v>400</v>
      </c>
      <c r="H33" s="76">
        <v>18600</v>
      </c>
      <c r="I33" s="66">
        <f t="shared" si="1"/>
        <v>0.2</v>
      </c>
    </row>
    <row r="34" spans="1:9" ht="48.5" hidden="1" thickBot="1" x14ac:dyDescent="0.4">
      <c r="A34" s="73" t="s">
        <v>9</v>
      </c>
      <c r="B34" s="74" t="s">
        <v>119</v>
      </c>
      <c r="C34" s="74" t="s">
        <v>47</v>
      </c>
      <c r="D34" s="74">
        <v>22999</v>
      </c>
      <c r="E34" s="74">
        <v>24999</v>
      </c>
      <c r="F34" s="75">
        <v>2000</v>
      </c>
      <c r="G34" s="74">
        <v>400</v>
      </c>
      <c r="H34" s="76">
        <v>19600</v>
      </c>
      <c r="I34" s="66">
        <f t="shared" si="1"/>
        <v>0.2</v>
      </c>
    </row>
    <row r="35" spans="1:9" ht="48.5" hidden="1" thickBot="1" x14ac:dyDescent="0.4">
      <c r="A35" s="73" t="s">
        <v>9</v>
      </c>
      <c r="B35" s="74" t="s">
        <v>119</v>
      </c>
      <c r="C35" s="74" t="s">
        <v>49</v>
      </c>
      <c r="D35" s="74">
        <v>24999</v>
      </c>
      <c r="E35" s="74">
        <v>26999</v>
      </c>
      <c r="F35" s="75">
        <v>2000</v>
      </c>
      <c r="G35" s="74">
        <v>400</v>
      </c>
      <c r="H35" s="76">
        <v>21400</v>
      </c>
      <c r="I35" s="66">
        <f t="shared" si="1"/>
        <v>0.2</v>
      </c>
    </row>
    <row r="36" spans="1:9" ht="48.5" hidden="1" thickBot="1" x14ac:dyDescent="0.4">
      <c r="A36" s="73" t="s">
        <v>9</v>
      </c>
      <c r="B36" s="74" t="s">
        <v>109</v>
      </c>
      <c r="C36" s="74" t="s">
        <v>47</v>
      </c>
      <c r="D36" s="74">
        <v>33999</v>
      </c>
      <c r="E36" s="74">
        <v>35999</v>
      </c>
      <c r="F36" s="75">
        <v>2000</v>
      </c>
      <c r="G36" s="74">
        <v>400</v>
      </c>
      <c r="H36" s="76">
        <v>29900</v>
      </c>
      <c r="I36" s="66">
        <f t="shared" si="1"/>
        <v>0.2</v>
      </c>
    </row>
    <row r="37" spans="1:9" ht="48.5" hidden="1" thickBot="1" x14ac:dyDescent="0.4">
      <c r="A37" s="73" t="s">
        <v>9</v>
      </c>
      <c r="B37" s="74" t="s">
        <v>109</v>
      </c>
      <c r="C37" s="74" t="s">
        <v>55</v>
      </c>
      <c r="D37" s="74">
        <v>37999</v>
      </c>
      <c r="E37" s="74">
        <v>39999</v>
      </c>
      <c r="F37" s="75">
        <v>2000</v>
      </c>
      <c r="G37" s="74">
        <v>400</v>
      </c>
      <c r="H37" s="76">
        <v>33600</v>
      </c>
      <c r="I37" s="66">
        <f t="shared" si="1"/>
        <v>0.2</v>
      </c>
    </row>
    <row r="38" spans="1:9" ht="16" x14ac:dyDescent="0.35">
      <c r="A38" s="70"/>
    </row>
    <row r="39" spans="1:9" ht="15.5" x14ac:dyDescent="0.35">
      <c r="A39" s="69"/>
    </row>
    <row r="40" spans="1:9" x14ac:dyDescent="0.35">
      <c r="A40" s="78" t="s">
        <v>183</v>
      </c>
    </row>
    <row r="41" spans="1:9" x14ac:dyDescent="0.35">
      <c r="A41" s="78"/>
    </row>
    <row r="42" spans="1:9" x14ac:dyDescent="0.35">
      <c r="A42" s="78" t="s">
        <v>184</v>
      </c>
    </row>
    <row r="43" spans="1:9" ht="15" thickBot="1" x14ac:dyDescent="0.4">
      <c r="A43" s="78"/>
    </row>
    <row r="44" spans="1:9" ht="29.5" thickBot="1" x14ac:dyDescent="0.4">
      <c r="A44" s="79" t="s">
        <v>133</v>
      </c>
      <c r="B44" s="80" t="s">
        <v>38</v>
      </c>
      <c r="C44" s="80" t="s">
        <v>104</v>
      </c>
      <c r="D44" s="80" t="s">
        <v>40</v>
      </c>
      <c r="E44" s="80" t="s">
        <v>3</v>
      </c>
      <c r="F44" s="80" t="s">
        <v>178</v>
      </c>
      <c r="G44" s="80" t="s">
        <v>179</v>
      </c>
      <c r="H44" s="80" t="s">
        <v>185</v>
      </c>
    </row>
    <row r="45" spans="1:9" ht="44" thickBot="1" x14ac:dyDescent="0.4">
      <c r="A45" s="81" t="s">
        <v>9</v>
      </c>
      <c r="B45" s="82" t="s">
        <v>44</v>
      </c>
      <c r="C45" s="82" t="s">
        <v>45</v>
      </c>
      <c r="D45" s="82">
        <v>22999</v>
      </c>
      <c r="E45" s="82">
        <v>24999</v>
      </c>
      <c r="F45" s="83">
        <v>2000</v>
      </c>
      <c r="G45" s="82">
        <v>400</v>
      </c>
      <c r="H45" s="127">
        <v>2300</v>
      </c>
    </row>
    <row r="46" spans="1:9" ht="44" thickBot="1" x14ac:dyDescent="0.4">
      <c r="A46" s="81" t="s">
        <v>9</v>
      </c>
      <c r="B46" s="82" t="s">
        <v>44</v>
      </c>
      <c r="C46" s="82" t="s">
        <v>47</v>
      </c>
      <c r="D46" s="82">
        <v>24999</v>
      </c>
      <c r="E46" s="82">
        <v>26999</v>
      </c>
      <c r="F46" s="83">
        <v>2000</v>
      </c>
      <c r="G46" s="82">
        <v>400</v>
      </c>
      <c r="H46" s="128"/>
    </row>
    <row r="47" spans="1:9" ht="44" thickBot="1" x14ac:dyDescent="0.4">
      <c r="A47" s="81" t="s">
        <v>9</v>
      </c>
      <c r="B47" s="82" t="s">
        <v>48</v>
      </c>
      <c r="C47" s="82" t="s">
        <v>45</v>
      </c>
      <c r="D47" s="82">
        <v>27999</v>
      </c>
      <c r="E47" s="82">
        <v>29999</v>
      </c>
      <c r="F47" s="83">
        <v>2000</v>
      </c>
      <c r="G47" s="82">
        <v>400</v>
      </c>
      <c r="H47" s="127">
        <v>2000</v>
      </c>
    </row>
    <row r="48" spans="1:9" ht="44" thickBot="1" x14ac:dyDescent="0.4">
      <c r="A48" s="81" t="s">
        <v>9</v>
      </c>
      <c r="B48" s="82" t="s">
        <v>48</v>
      </c>
      <c r="C48" s="82" t="s">
        <v>47</v>
      </c>
      <c r="D48" s="82">
        <v>29999</v>
      </c>
      <c r="E48" s="82">
        <v>31999</v>
      </c>
      <c r="F48" s="83">
        <v>2000</v>
      </c>
      <c r="G48" s="82">
        <v>400</v>
      </c>
      <c r="H48" s="125"/>
    </row>
    <row r="49" spans="1:8" ht="44" thickBot="1" x14ac:dyDescent="0.4">
      <c r="A49" s="81" t="s">
        <v>9</v>
      </c>
      <c r="B49" s="82" t="s">
        <v>48</v>
      </c>
      <c r="C49" s="82" t="s">
        <v>49</v>
      </c>
      <c r="D49" s="82">
        <v>31999</v>
      </c>
      <c r="E49" s="82">
        <v>34999</v>
      </c>
      <c r="F49" s="83">
        <v>3000</v>
      </c>
      <c r="G49" s="82">
        <v>600</v>
      </c>
      <c r="H49" s="125"/>
    </row>
    <row r="50" spans="1:8" ht="44" thickBot="1" x14ac:dyDescent="0.4">
      <c r="A50" s="81" t="s">
        <v>9</v>
      </c>
      <c r="B50" s="82" t="s">
        <v>48</v>
      </c>
      <c r="C50" s="82" t="s">
        <v>50</v>
      </c>
      <c r="D50" s="82">
        <v>34999</v>
      </c>
      <c r="E50" s="82">
        <v>37999</v>
      </c>
      <c r="F50" s="83">
        <v>3000</v>
      </c>
      <c r="G50" s="82">
        <v>600</v>
      </c>
      <c r="H50" s="128"/>
    </row>
    <row r="51" spans="1:8" ht="44" thickBot="1" x14ac:dyDescent="0.4">
      <c r="A51" s="81" t="s">
        <v>9</v>
      </c>
      <c r="B51" s="82" t="s">
        <v>51</v>
      </c>
      <c r="C51" s="82" t="s">
        <v>52</v>
      </c>
      <c r="D51" s="82">
        <v>13999</v>
      </c>
      <c r="E51" s="82">
        <v>14999</v>
      </c>
      <c r="F51" s="83">
        <v>1000</v>
      </c>
      <c r="G51" s="82">
        <v>200</v>
      </c>
      <c r="H51" s="127">
        <v>3500</v>
      </c>
    </row>
    <row r="52" spans="1:8" ht="44" thickBot="1" x14ac:dyDescent="0.4">
      <c r="A52" s="81" t="s">
        <v>9</v>
      </c>
      <c r="B52" s="82" t="s">
        <v>51</v>
      </c>
      <c r="C52" s="82" t="s">
        <v>45</v>
      </c>
      <c r="D52" s="82">
        <v>14999</v>
      </c>
      <c r="E52" s="82">
        <v>15999</v>
      </c>
      <c r="F52" s="83">
        <v>1000</v>
      </c>
      <c r="G52" s="82">
        <v>200</v>
      </c>
      <c r="H52" s="128"/>
    </row>
    <row r="53" spans="1:8" ht="44" thickBot="1" x14ac:dyDescent="0.4">
      <c r="A53" s="81" t="s">
        <v>9</v>
      </c>
      <c r="B53" s="82" t="s">
        <v>181</v>
      </c>
      <c r="C53" s="82" t="s">
        <v>45</v>
      </c>
      <c r="D53" s="82">
        <v>28999</v>
      </c>
      <c r="E53" s="82">
        <v>30999</v>
      </c>
      <c r="F53" s="83">
        <v>2000</v>
      </c>
      <c r="G53" s="82">
        <v>400</v>
      </c>
      <c r="H53" s="127">
        <v>100</v>
      </c>
    </row>
    <row r="54" spans="1:8" ht="44" thickBot="1" x14ac:dyDescent="0.4">
      <c r="A54" s="81" t="s">
        <v>9</v>
      </c>
      <c r="B54" s="82" t="s">
        <v>181</v>
      </c>
      <c r="C54" s="82" t="s">
        <v>47</v>
      </c>
      <c r="D54" s="82">
        <v>25999</v>
      </c>
      <c r="E54" s="82">
        <v>32999</v>
      </c>
      <c r="F54" s="83">
        <v>7000</v>
      </c>
      <c r="G54" s="82">
        <v>1400</v>
      </c>
      <c r="H54" s="125"/>
    </row>
    <row r="55" spans="1:8" ht="44" thickBot="1" x14ac:dyDescent="0.4">
      <c r="A55" s="81" t="s">
        <v>9</v>
      </c>
      <c r="B55" s="82" t="s">
        <v>181</v>
      </c>
      <c r="C55" s="82" t="s">
        <v>49</v>
      </c>
      <c r="D55" s="82">
        <v>27999</v>
      </c>
      <c r="E55" s="82">
        <v>35999</v>
      </c>
      <c r="F55" s="83">
        <v>8000</v>
      </c>
      <c r="G55" s="82">
        <v>1600</v>
      </c>
      <c r="H55" s="125"/>
    </row>
    <row r="56" spans="1:8" ht="44" thickBot="1" x14ac:dyDescent="0.4">
      <c r="A56" s="81" t="s">
        <v>9</v>
      </c>
      <c r="B56" s="82" t="s">
        <v>181</v>
      </c>
      <c r="C56" s="82" t="s">
        <v>50</v>
      </c>
      <c r="D56" s="82">
        <v>37999</v>
      </c>
      <c r="E56" s="82">
        <v>39999</v>
      </c>
      <c r="F56" s="83">
        <v>2000</v>
      </c>
      <c r="G56" s="82">
        <v>400</v>
      </c>
      <c r="H56" s="126"/>
    </row>
    <row r="57" spans="1:8" ht="44" thickBot="1" x14ac:dyDescent="0.4">
      <c r="A57" s="81" t="s">
        <v>9</v>
      </c>
      <c r="B57" s="82" t="s">
        <v>54</v>
      </c>
      <c r="C57" s="82" t="s">
        <v>49</v>
      </c>
      <c r="D57" s="82">
        <v>59999</v>
      </c>
      <c r="E57" s="82">
        <v>62999</v>
      </c>
      <c r="F57" s="83">
        <v>3000</v>
      </c>
      <c r="G57" s="82">
        <v>600</v>
      </c>
      <c r="H57" s="124">
        <v>30</v>
      </c>
    </row>
    <row r="58" spans="1:8" ht="44" thickBot="1" x14ac:dyDescent="0.4">
      <c r="A58" s="81" t="s">
        <v>9</v>
      </c>
      <c r="B58" s="82" t="s">
        <v>54</v>
      </c>
      <c r="C58" s="82" t="s">
        <v>55</v>
      </c>
      <c r="D58" s="82">
        <v>64999</v>
      </c>
      <c r="E58" s="82">
        <v>67999</v>
      </c>
      <c r="F58" s="83">
        <v>3000</v>
      </c>
      <c r="G58" s="82">
        <v>600</v>
      </c>
      <c r="H58" s="126"/>
    </row>
    <row r="59" spans="1:8" ht="44" thickBot="1" x14ac:dyDescent="0.4">
      <c r="A59" s="81" t="s">
        <v>9</v>
      </c>
      <c r="B59" s="82" t="s">
        <v>106</v>
      </c>
      <c r="C59" s="82" t="s">
        <v>52</v>
      </c>
      <c r="D59" s="82">
        <v>13999</v>
      </c>
      <c r="E59" s="82">
        <v>14999</v>
      </c>
      <c r="F59" s="83">
        <v>1000</v>
      </c>
      <c r="G59" s="82">
        <v>200</v>
      </c>
      <c r="H59" s="124">
        <v>800</v>
      </c>
    </row>
    <row r="60" spans="1:8" ht="44" thickBot="1" x14ac:dyDescent="0.4">
      <c r="A60" s="81" t="s">
        <v>9</v>
      </c>
      <c r="B60" s="82" t="s">
        <v>106</v>
      </c>
      <c r="C60" s="82" t="s">
        <v>45</v>
      </c>
      <c r="D60" s="82">
        <v>14999</v>
      </c>
      <c r="E60" s="82">
        <v>15999</v>
      </c>
      <c r="F60" s="83">
        <v>1000</v>
      </c>
      <c r="G60" s="82">
        <v>200</v>
      </c>
      <c r="H60" s="126"/>
    </row>
    <row r="61" spans="1:8" ht="44" thickBot="1" x14ac:dyDescent="0.4">
      <c r="A61" s="81" t="s">
        <v>9</v>
      </c>
      <c r="B61" s="82" t="s">
        <v>182</v>
      </c>
      <c r="C61" s="82" t="s">
        <v>45</v>
      </c>
      <c r="D61" s="82">
        <v>18999</v>
      </c>
      <c r="E61" s="82">
        <v>21999</v>
      </c>
      <c r="F61" s="83">
        <v>3000</v>
      </c>
      <c r="G61" s="82">
        <v>600</v>
      </c>
      <c r="H61" s="124">
        <v>500</v>
      </c>
    </row>
    <row r="62" spans="1:8" ht="44" thickBot="1" x14ac:dyDescent="0.4">
      <c r="A62" s="81" t="s">
        <v>9</v>
      </c>
      <c r="B62" s="82" t="s">
        <v>182</v>
      </c>
      <c r="C62" s="82" t="s">
        <v>49</v>
      </c>
      <c r="D62" s="82">
        <v>20999</v>
      </c>
      <c r="E62" s="82">
        <v>24999</v>
      </c>
      <c r="F62" s="83">
        <v>4000</v>
      </c>
      <c r="G62" s="82">
        <v>800</v>
      </c>
      <c r="H62" s="125"/>
    </row>
    <row r="63" spans="1:8" ht="44" thickBot="1" x14ac:dyDescent="0.4">
      <c r="A63" s="81" t="s">
        <v>9</v>
      </c>
      <c r="B63" s="82" t="s">
        <v>182</v>
      </c>
      <c r="C63" s="82" t="s">
        <v>50</v>
      </c>
      <c r="D63" s="82">
        <v>23999</v>
      </c>
      <c r="E63" s="82">
        <v>27999</v>
      </c>
      <c r="F63" s="83">
        <v>4000</v>
      </c>
      <c r="G63" s="82">
        <v>800</v>
      </c>
      <c r="H63" s="126"/>
    </row>
    <row r="64" spans="1:8" ht="44" thickBot="1" x14ac:dyDescent="0.4">
      <c r="A64" s="81" t="s">
        <v>9</v>
      </c>
      <c r="B64" s="82" t="s">
        <v>108</v>
      </c>
      <c r="C64" s="82" t="s">
        <v>45</v>
      </c>
      <c r="D64" s="82">
        <v>24999</v>
      </c>
      <c r="E64" s="82">
        <v>26999</v>
      </c>
      <c r="F64" s="83">
        <v>2000</v>
      </c>
      <c r="G64" s="82">
        <v>400</v>
      </c>
      <c r="H64" s="124">
        <v>250</v>
      </c>
    </row>
    <row r="65" spans="1:8" ht="44" thickBot="1" x14ac:dyDescent="0.4">
      <c r="A65" s="81" t="s">
        <v>9</v>
      </c>
      <c r="B65" s="82" t="s">
        <v>108</v>
      </c>
      <c r="C65" s="82" t="s">
        <v>47</v>
      </c>
      <c r="D65" s="82">
        <v>25999</v>
      </c>
      <c r="E65" s="82">
        <v>27999</v>
      </c>
      <c r="F65" s="83">
        <v>2000</v>
      </c>
      <c r="G65" s="82">
        <v>400</v>
      </c>
      <c r="H65" s="125"/>
    </row>
    <row r="66" spans="1:8" ht="44" thickBot="1" x14ac:dyDescent="0.4">
      <c r="A66" s="81" t="s">
        <v>9</v>
      </c>
      <c r="B66" s="82" t="s">
        <v>108</v>
      </c>
      <c r="C66" s="82" t="s">
        <v>49</v>
      </c>
      <c r="D66" s="82">
        <v>27999</v>
      </c>
      <c r="E66" s="82">
        <v>29999</v>
      </c>
      <c r="F66" s="83">
        <v>2000</v>
      </c>
      <c r="G66" s="82">
        <v>400</v>
      </c>
      <c r="H66" s="126"/>
    </row>
    <row r="67" spans="1:8" ht="44" thickBot="1" x14ac:dyDescent="0.4">
      <c r="A67" s="81" t="s">
        <v>9</v>
      </c>
      <c r="B67" s="82" t="s">
        <v>119</v>
      </c>
      <c r="C67" s="82" t="s">
        <v>45</v>
      </c>
      <c r="D67" s="82">
        <v>21999</v>
      </c>
      <c r="E67" s="82">
        <v>23999</v>
      </c>
      <c r="F67" s="83">
        <v>2000</v>
      </c>
      <c r="G67" s="82">
        <v>400</v>
      </c>
      <c r="H67" s="124">
        <v>200</v>
      </c>
    </row>
    <row r="68" spans="1:8" ht="44" thickBot="1" x14ac:dyDescent="0.4">
      <c r="A68" s="81" t="s">
        <v>9</v>
      </c>
      <c r="B68" s="82" t="s">
        <v>119</v>
      </c>
      <c r="C68" s="82" t="s">
        <v>47</v>
      </c>
      <c r="D68" s="82">
        <v>22999</v>
      </c>
      <c r="E68" s="82">
        <v>24999</v>
      </c>
      <c r="F68" s="83">
        <v>2000</v>
      </c>
      <c r="G68" s="82">
        <v>400</v>
      </c>
      <c r="H68" s="125"/>
    </row>
    <row r="69" spans="1:8" ht="44" thickBot="1" x14ac:dyDescent="0.4">
      <c r="A69" s="81" t="s">
        <v>9</v>
      </c>
      <c r="B69" s="82" t="s">
        <v>119</v>
      </c>
      <c r="C69" s="82" t="s">
        <v>49</v>
      </c>
      <c r="D69" s="82">
        <v>24999</v>
      </c>
      <c r="E69" s="82">
        <v>26999</v>
      </c>
      <c r="F69" s="83">
        <v>2000</v>
      </c>
      <c r="G69" s="82">
        <v>400</v>
      </c>
      <c r="H69" s="126"/>
    </row>
    <row r="70" spans="1:8" ht="44" thickBot="1" x14ac:dyDescent="0.4">
      <c r="A70" s="81" t="s">
        <v>9</v>
      </c>
      <c r="B70" s="82" t="s">
        <v>109</v>
      </c>
      <c r="C70" s="82" t="s">
        <v>47</v>
      </c>
      <c r="D70" s="82">
        <v>33999</v>
      </c>
      <c r="E70" s="82">
        <v>35999</v>
      </c>
      <c r="F70" s="83">
        <v>2000</v>
      </c>
      <c r="G70" s="82">
        <v>400</v>
      </c>
      <c r="H70" s="124">
        <v>100</v>
      </c>
    </row>
    <row r="71" spans="1:8" ht="44" thickBot="1" x14ac:dyDescent="0.4">
      <c r="A71" s="81" t="s">
        <v>9</v>
      </c>
      <c r="B71" s="82" t="s">
        <v>109</v>
      </c>
      <c r="C71" s="82" t="s">
        <v>55</v>
      </c>
      <c r="D71" s="82">
        <v>37999</v>
      </c>
      <c r="E71" s="82">
        <v>39999</v>
      </c>
      <c r="F71" s="83">
        <v>2000</v>
      </c>
      <c r="G71" s="82">
        <v>400</v>
      </c>
      <c r="H71" s="126"/>
    </row>
  </sheetData>
  <autoFilter ref="A10:I37" xr:uid="{E2A61FC0-C4D7-48BD-8761-5A326F879D88}">
    <filterColumn colId="6">
      <colorFilter dxfId="0"/>
    </filterColumn>
  </autoFilter>
  <mergeCells count="10">
    <mergeCell ref="H61:H63"/>
    <mergeCell ref="H64:H66"/>
    <mergeCell ref="H67:H69"/>
    <mergeCell ref="H70:H71"/>
    <mergeCell ref="H45:H46"/>
    <mergeCell ref="H47:H50"/>
    <mergeCell ref="H51:H52"/>
    <mergeCell ref="H53:H56"/>
    <mergeCell ref="H57:H58"/>
    <mergeCell ref="H59:H6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0F95C-73B3-49C9-9938-0BCC1E3969E3}">
  <dimension ref="A1:I36"/>
  <sheetViews>
    <sheetView topLeftCell="C7" workbookViewId="0">
      <selection activeCell="I16" sqref="I16:I21"/>
    </sheetView>
  </sheetViews>
  <sheetFormatPr defaultRowHeight="14.5" x14ac:dyDescent="0.35"/>
  <cols>
    <col min="1" max="1" width="55.6328125" bestFit="1" customWidth="1"/>
    <col min="2" max="2" width="50.90625" bestFit="1" customWidth="1"/>
    <col min="3" max="3" width="16.1796875" bestFit="1" customWidth="1"/>
    <col min="4" max="4" width="12.7265625" bestFit="1" customWidth="1"/>
    <col min="5" max="5" width="19.54296875" bestFit="1" customWidth="1"/>
    <col min="6" max="6" width="13.36328125" bestFit="1" customWidth="1"/>
    <col min="7" max="7" width="6.90625" bestFit="1" customWidth="1"/>
    <col min="8" max="8" width="16.36328125" bestFit="1" customWidth="1"/>
    <col min="9" max="9" width="52.7265625" bestFit="1" customWidth="1"/>
  </cols>
  <sheetData>
    <row r="1" spans="1:9" ht="36" customHeight="1" thickBot="1" x14ac:dyDescent="0.4">
      <c r="A1" s="129" t="s">
        <v>198</v>
      </c>
      <c r="B1" s="129"/>
      <c r="C1" s="129"/>
      <c r="D1" s="129"/>
      <c r="E1" s="129"/>
      <c r="F1" s="129"/>
      <c r="G1" s="129"/>
      <c r="H1" s="129"/>
      <c r="I1" s="129"/>
    </row>
    <row r="2" spans="1:9" ht="18" thickBot="1" x14ac:dyDescent="0.4">
      <c r="A2" s="86" t="s">
        <v>133</v>
      </c>
      <c r="B2" s="87" t="s">
        <v>186</v>
      </c>
      <c r="C2" s="87" t="s">
        <v>187</v>
      </c>
      <c r="D2" s="87" t="s">
        <v>104</v>
      </c>
      <c r="E2" s="87" t="s">
        <v>188</v>
      </c>
      <c r="F2" s="87" t="s">
        <v>40</v>
      </c>
      <c r="G2" s="87" t="s">
        <v>3</v>
      </c>
      <c r="H2" s="87" t="s">
        <v>82</v>
      </c>
      <c r="I2" s="87" t="s">
        <v>83</v>
      </c>
    </row>
    <row r="3" spans="1:9" ht="16" thickBot="1" x14ac:dyDescent="0.4">
      <c r="A3" s="53" t="s">
        <v>189</v>
      </c>
      <c r="B3" s="39" t="s">
        <v>429</v>
      </c>
      <c r="C3" s="39" t="s">
        <v>430</v>
      </c>
      <c r="D3" s="39" t="s">
        <v>190</v>
      </c>
      <c r="E3" s="90">
        <v>6941764460720</v>
      </c>
      <c r="F3" s="39">
        <v>18999</v>
      </c>
      <c r="G3" s="39">
        <v>19999</v>
      </c>
      <c r="H3" s="39" t="s">
        <v>191</v>
      </c>
      <c r="I3" s="39" t="s">
        <v>192</v>
      </c>
    </row>
    <row r="4" spans="1:9" ht="16" thickBot="1" x14ac:dyDescent="0.4">
      <c r="A4" s="53" t="s">
        <v>189</v>
      </c>
      <c r="B4" s="39" t="s">
        <v>431</v>
      </c>
      <c r="C4" s="39" t="s">
        <v>430</v>
      </c>
      <c r="D4" s="39" t="s">
        <v>193</v>
      </c>
      <c r="E4" s="90">
        <v>6941764460744</v>
      </c>
      <c r="F4" s="39">
        <v>16999</v>
      </c>
      <c r="G4" s="39">
        <v>17999</v>
      </c>
      <c r="H4" s="39" t="s">
        <v>191</v>
      </c>
      <c r="I4" s="39" t="s">
        <v>192</v>
      </c>
    </row>
    <row r="5" spans="1:9" ht="16" thickBot="1" x14ac:dyDescent="0.4">
      <c r="A5" s="53" t="s">
        <v>189</v>
      </c>
      <c r="B5" s="39" t="s">
        <v>432</v>
      </c>
      <c r="C5" s="39" t="s">
        <v>430</v>
      </c>
      <c r="D5" s="39" t="s">
        <v>193</v>
      </c>
      <c r="E5" s="90">
        <v>6941764460713</v>
      </c>
      <c r="F5" s="39">
        <v>16999</v>
      </c>
      <c r="G5" s="39">
        <v>17999</v>
      </c>
      <c r="H5" s="39" t="s">
        <v>191</v>
      </c>
      <c r="I5" s="39" t="s">
        <v>192</v>
      </c>
    </row>
    <row r="6" spans="1:9" ht="16" thickBot="1" x14ac:dyDescent="0.4">
      <c r="A6" s="53" t="s">
        <v>189</v>
      </c>
      <c r="B6" s="39" t="s">
        <v>433</v>
      </c>
      <c r="C6" s="39" t="s">
        <v>430</v>
      </c>
      <c r="D6" s="39" t="s">
        <v>190</v>
      </c>
      <c r="E6" s="90">
        <v>6941764460690</v>
      </c>
      <c r="F6" s="39">
        <v>18999</v>
      </c>
      <c r="G6" s="39">
        <v>19999</v>
      </c>
      <c r="H6" s="39" t="s">
        <v>191</v>
      </c>
      <c r="I6" s="39" t="s">
        <v>192</v>
      </c>
    </row>
    <row r="7" spans="1:9" ht="16" thickBot="1" x14ac:dyDescent="0.4">
      <c r="A7" s="53" t="s">
        <v>189</v>
      </c>
      <c r="B7" s="39" t="s">
        <v>434</v>
      </c>
      <c r="C7" s="39" t="s">
        <v>430</v>
      </c>
      <c r="D7" s="39" t="s">
        <v>190</v>
      </c>
      <c r="E7" s="90">
        <v>6941764460751</v>
      </c>
      <c r="F7" s="39">
        <v>18999</v>
      </c>
      <c r="G7" s="39">
        <v>19999</v>
      </c>
      <c r="H7" s="39" t="s">
        <v>191</v>
      </c>
      <c r="I7" s="39" t="s">
        <v>192</v>
      </c>
    </row>
    <row r="8" spans="1:9" ht="16" thickBot="1" x14ac:dyDescent="0.4">
      <c r="A8" s="53" t="s">
        <v>189</v>
      </c>
      <c r="B8" s="39" t="s">
        <v>435</v>
      </c>
      <c r="C8" s="39" t="s">
        <v>430</v>
      </c>
      <c r="D8" s="39" t="s">
        <v>193</v>
      </c>
      <c r="E8" s="90">
        <v>6941764460683</v>
      </c>
      <c r="F8" s="39">
        <v>16999</v>
      </c>
      <c r="G8" s="39">
        <v>17999</v>
      </c>
      <c r="H8" s="39" t="s">
        <v>191</v>
      </c>
      <c r="I8" s="39" t="s">
        <v>192</v>
      </c>
    </row>
    <row r="9" spans="1:9" ht="15.5" x14ac:dyDescent="0.35">
      <c r="A9" s="48"/>
    </row>
    <row r="10" spans="1:9" ht="15.5" x14ac:dyDescent="0.35">
      <c r="A10" s="88" t="s">
        <v>194</v>
      </c>
    </row>
    <row r="11" spans="1:9" ht="15.5" x14ac:dyDescent="0.35">
      <c r="A11" s="88" t="s">
        <v>195</v>
      </c>
    </row>
    <row r="13" spans="1:9" ht="14.5" customHeight="1" x14ac:dyDescent="0.35">
      <c r="A13" s="130" t="s">
        <v>199</v>
      </c>
      <c r="B13" s="130"/>
      <c r="C13" s="130"/>
      <c r="D13" s="130"/>
      <c r="E13" s="130"/>
      <c r="F13" s="130"/>
      <c r="G13" s="130"/>
      <c r="H13" s="130"/>
      <c r="I13" s="130"/>
    </row>
    <row r="14" spans="1:9" ht="16" customHeight="1" thickBot="1" x14ac:dyDescent="0.4">
      <c r="A14" s="129"/>
      <c r="B14" s="129"/>
      <c r="C14" s="129"/>
      <c r="D14" s="129"/>
      <c r="E14" s="129"/>
      <c r="F14" s="129"/>
      <c r="G14" s="129"/>
      <c r="H14" s="129"/>
      <c r="I14" s="129"/>
    </row>
    <row r="15" spans="1:9" ht="18" thickBot="1" x14ac:dyDescent="0.4">
      <c r="A15" s="86" t="s">
        <v>133</v>
      </c>
      <c r="B15" s="87" t="s">
        <v>186</v>
      </c>
      <c r="C15" s="87" t="s">
        <v>187</v>
      </c>
      <c r="D15" s="87" t="s">
        <v>104</v>
      </c>
      <c r="E15" s="87" t="s">
        <v>188</v>
      </c>
      <c r="F15" s="87" t="s">
        <v>40</v>
      </c>
      <c r="G15" s="87" t="s">
        <v>3</v>
      </c>
      <c r="H15" s="89" t="s">
        <v>196</v>
      </c>
      <c r="I15" s="87" t="s">
        <v>42</v>
      </c>
    </row>
    <row r="16" spans="1:9" ht="16" thickBot="1" x14ac:dyDescent="0.4">
      <c r="A16" s="53" t="s">
        <v>189</v>
      </c>
      <c r="B16" s="39" t="s">
        <v>429</v>
      </c>
      <c r="C16" s="39" t="s">
        <v>430</v>
      </c>
      <c r="D16" s="39" t="s">
        <v>190</v>
      </c>
      <c r="E16" s="90">
        <v>6941764460720</v>
      </c>
      <c r="F16" s="39">
        <v>18999</v>
      </c>
      <c r="G16" s="39">
        <v>19999</v>
      </c>
      <c r="H16" s="62" t="s">
        <v>197</v>
      </c>
      <c r="I16" s="30" t="s">
        <v>436</v>
      </c>
    </row>
    <row r="17" spans="1:9" ht="16" thickBot="1" x14ac:dyDescent="0.4">
      <c r="A17" s="53" t="s">
        <v>189</v>
      </c>
      <c r="B17" s="39" t="s">
        <v>431</v>
      </c>
      <c r="C17" s="39" t="s">
        <v>430</v>
      </c>
      <c r="D17" s="39" t="s">
        <v>193</v>
      </c>
      <c r="E17" s="90">
        <v>6941764460744</v>
      </c>
      <c r="F17" s="39">
        <v>16999</v>
      </c>
      <c r="G17" s="39">
        <v>17999</v>
      </c>
      <c r="H17" s="62" t="s">
        <v>197</v>
      </c>
      <c r="I17" s="30" t="s">
        <v>436</v>
      </c>
    </row>
    <row r="18" spans="1:9" ht="16" thickBot="1" x14ac:dyDescent="0.4">
      <c r="A18" s="53" t="s">
        <v>189</v>
      </c>
      <c r="B18" s="39" t="s">
        <v>432</v>
      </c>
      <c r="C18" s="39" t="s">
        <v>430</v>
      </c>
      <c r="D18" s="39" t="s">
        <v>193</v>
      </c>
      <c r="E18" s="90">
        <v>6941764460713</v>
      </c>
      <c r="F18" s="39">
        <v>16999</v>
      </c>
      <c r="G18" s="39">
        <v>17999</v>
      </c>
      <c r="H18" s="62" t="s">
        <v>197</v>
      </c>
      <c r="I18" s="30" t="s">
        <v>436</v>
      </c>
    </row>
    <row r="19" spans="1:9" ht="16" thickBot="1" x14ac:dyDescent="0.4">
      <c r="A19" s="53" t="s">
        <v>189</v>
      </c>
      <c r="B19" s="39" t="s">
        <v>433</v>
      </c>
      <c r="C19" s="39" t="s">
        <v>430</v>
      </c>
      <c r="D19" s="39" t="s">
        <v>190</v>
      </c>
      <c r="E19" s="90">
        <v>6941764460690</v>
      </c>
      <c r="F19" s="39">
        <v>18999</v>
      </c>
      <c r="G19" s="39">
        <v>19999</v>
      </c>
      <c r="H19" s="62" t="s">
        <v>197</v>
      </c>
      <c r="I19" s="30" t="s">
        <v>436</v>
      </c>
    </row>
    <row r="20" spans="1:9" ht="16" thickBot="1" x14ac:dyDescent="0.4">
      <c r="A20" s="53" t="s">
        <v>189</v>
      </c>
      <c r="B20" s="39" t="s">
        <v>434</v>
      </c>
      <c r="C20" s="39" t="s">
        <v>430</v>
      </c>
      <c r="D20" s="39" t="s">
        <v>190</v>
      </c>
      <c r="E20" s="90">
        <v>6941764460751</v>
      </c>
      <c r="F20" s="39">
        <v>18999</v>
      </c>
      <c r="G20" s="39">
        <v>19999</v>
      </c>
      <c r="H20" s="62" t="s">
        <v>197</v>
      </c>
      <c r="I20" s="30" t="s">
        <v>436</v>
      </c>
    </row>
    <row r="21" spans="1:9" ht="16" thickBot="1" x14ac:dyDescent="0.4">
      <c r="A21" s="53" t="s">
        <v>189</v>
      </c>
      <c r="B21" s="39" t="s">
        <v>435</v>
      </c>
      <c r="C21" s="39" t="s">
        <v>430</v>
      </c>
      <c r="D21" s="39" t="s">
        <v>193</v>
      </c>
      <c r="E21" s="90">
        <v>6941764460683</v>
      </c>
      <c r="F21" s="39">
        <v>16999</v>
      </c>
      <c r="G21" s="39">
        <v>17999</v>
      </c>
      <c r="H21" s="62" t="s">
        <v>197</v>
      </c>
      <c r="I21" s="30" t="s">
        <v>436</v>
      </c>
    </row>
    <row r="22" spans="1:9" ht="15.5" x14ac:dyDescent="0.35">
      <c r="A22" s="48"/>
    </row>
    <row r="24" spans="1:9" ht="15" thickBot="1" x14ac:dyDescent="0.4"/>
    <row r="25" spans="1:9" ht="16" thickBot="1" x14ac:dyDescent="0.4">
      <c r="A25" s="52"/>
      <c r="B25" s="131" t="s">
        <v>200</v>
      </c>
      <c r="C25" s="132"/>
      <c r="D25" s="133"/>
    </row>
    <row r="26" spans="1:9" ht="16" thickBot="1" x14ac:dyDescent="0.4">
      <c r="A26" s="91" t="s">
        <v>201</v>
      </c>
      <c r="B26" s="37" t="s">
        <v>56</v>
      </c>
      <c r="C26" s="37" t="s">
        <v>202</v>
      </c>
      <c r="D26" s="37" t="s">
        <v>56</v>
      </c>
    </row>
    <row r="27" spans="1:9" ht="16" thickBot="1" x14ac:dyDescent="0.4">
      <c r="A27" s="92" t="s">
        <v>72</v>
      </c>
      <c r="B27" s="54">
        <v>0.2</v>
      </c>
      <c r="C27" s="54">
        <v>0.8</v>
      </c>
      <c r="D27" s="39"/>
    </row>
    <row r="28" spans="1:9" ht="16" thickBot="1" x14ac:dyDescent="0.4">
      <c r="A28" s="92" t="s">
        <v>61</v>
      </c>
      <c r="B28" s="54">
        <v>0.5</v>
      </c>
      <c r="C28" s="54">
        <v>0.5</v>
      </c>
      <c r="D28" s="39"/>
    </row>
    <row r="29" spans="1:9" ht="19.5" customHeight="1" thickBot="1" x14ac:dyDescent="0.4">
      <c r="A29" s="92" t="s">
        <v>59</v>
      </c>
      <c r="B29" s="54">
        <v>0.55000000000000004</v>
      </c>
      <c r="C29" s="54">
        <v>0.45</v>
      </c>
      <c r="D29" s="93" t="s">
        <v>203</v>
      </c>
    </row>
    <row r="30" spans="1:9" ht="16" thickBot="1" x14ac:dyDescent="0.4">
      <c r="A30" s="92" t="s">
        <v>204</v>
      </c>
      <c r="B30" s="54">
        <v>0.35</v>
      </c>
      <c r="C30" s="54">
        <v>0.65</v>
      </c>
      <c r="D30" s="39"/>
    </row>
    <row r="31" spans="1:9" ht="16" thickBot="1" x14ac:dyDescent="0.4">
      <c r="A31" s="92" t="s">
        <v>136</v>
      </c>
      <c r="B31" s="54">
        <v>0.6</v>
      </c>
      <c r="C31" s="54">
        <v>0.4</v>
      </c>
      <c r="D31" s="39"/>
    </row>
    <row r="32" spans="1:9" ht="16" thickBot="1" x14ac:dyDescent="0.4">
      <c r="A32" s="92" t="s">
        <v>69</v>
      </c>
      <c r="B32" s="54">
        <v>0</v>
      </c>
      <c r="C32" s="54">
        <v>1</v>
      </c>
      <c r="D32" s="39"/>
    </row>
    <row r="33" spans="1:4" ht="16" thickBot="1" x14ac:dyDescent="0.4">
      <c r="A33" s="92" t="s">
        <v>205</v>
      </c>
      <c r="B33" s="54">
        <v>0.4</v>
      </c>
      <c r="C33" s="54">
        <v>0.6</v>
      </c>
      <c r="D33" s="39"/>
    </row>
    <row r="34" spans="1:4" ht="16" thickBot="1" x14ac:dyDescent="0.4">
      <c r="A34" s="92" t="s">
        <v>62</v>
      </c>
      <c r="B34" s="54">
        <v>0.7</v>
      </c>
      <c r="C34" s="54">
        <v>0.3</v>
      </c>
      <c r="D34" s="39"/>
    </row>
    <row r="35" spans="1:4" ht="15.5" x14ac:dyDescent="0.35">
      <c r="A35" s="48"/>
    </row>
    <row r="36" spans="1:4" ht="15.5" x14ac:dyDescent="0.35">
      <c r="A36" s="48" t="s">
        <v>206</v>
      </c>
    </row>
  </sheetData>
  <mergeCells count="3">
    <mergeCell ref="A1:I1"/>
    <mergeCell ref="A13:I14"/>
    <mergeCell ref="B25:D2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D7C48-6A35-4007-BF9F-64B9F868D0E3}">
  <dimension ref="A1:L35"/>
  <sheetViews>
    <sheetView topLeftCell="A12" workbookViewId="0">
      <selection sqref="A1:L35"/>
    </sheetView>
  </sheetViews>
  <sheetFormatPr defaultRowHeight="14.5" x14ac:dyDescent="0.35"/>
  <cols>
    <col min="1" max="1" width="14.54296875" bestFit="1" customWidth="1"/>
    <col min="2" max="2" width="45.1796875" bestFit="1" customWidth="1"/>
    <col min="3" max="3" width="6.7265625" bestFit="1" customWidth="1"/>
    <col min="4" max="4" width="6.36328125" bestFit="1" customWidth="1"/>
    <col min="5" max="5" width="12.26953125" bestFit="1" customWidth="1"/>
    <col min="6" max="6" width="13.453125" bestFit="1" customWidth="1"/>
    <col min="7" max="7" width="7.90625" bestFit="1" customWidth="1"/>
    <col min="8" max="8" width="5.36328125" bestFit="1" customWidth="1"/>
    <col min="9" max="9" width="5.90625" bestFit="1" customWidth="1"/>
    <col min="10" max="10" width="40.90625" bestFit="1" customWidth="1"/>
    <col min="11" max="11" width="8" bestFit="1" customWidth="1"/>
    <col min="12" max="12" width="20.08984375" bestFit="1" customWidth="1"/>
  </cols>
  <sheetData>
    <row r="1" spans="1:12" ht="15.5" x14ac:dyDescent="0.35">
      <c r="A1" s="12"/>
    </row>
    <row r="2" spans="1:12" ht="15" thickBot="1" x14ac:dyDescent="0.4"/>
    <row r="3" spans="1:12" ht="15" thickBot="1" x14ac:dyDescent="0.4">
      <c r="A3" s="15" t="s">
        <v>144</v>
      </c>
      <c r="B3" s="16" t="s">
        <v>1</v>
      </c>
      <c r="C3" s="16" t="s">
        <v>38</v>
      </c>
      <c r="D3" s="16" t="s">
        <v>104</v>
      </c>
      <c r="E3" s="16" t="s">
        <v>145</v>
      </c>
      <c r="F3" s="16" t="s">
        <v>2</v>
      </c>
      <c r="G3" s="16" t="s">
        <v>40</v>
      </c>
      <c r="H3" s="16" t="s">
        <v>3</v>
      </c>
      <c r="I3" s="16" t="s">
        <v>41</v>
      </c>
      <c r="J3" s="16" t="s">
        <v>42</v>
      </c>
      <c r="K3" s="16" t="s">
        <v>43</v>
      </c>
      <c r="L3" s="16" t="s">
        <v>42</v>
      </c>
    </row>
    <row r="4" spans="1:12" ht="15" thickBot="1" x14ac:dyDescent="0.4">
      <c r="A4" s="94" t="s">
        <v>437</v>
      </c>
      <c r="B4" s="6" t="s">
        <v>13</v>
      </c>
      <c r="C4" s="6" t="s">
        <v>106</v>
      </c>
      <c r="D4" s="6" t="s">
        <v>52</v>
      </c>
      <c r="E4" s="6" t="s">
        <v>150</v>
      </c>
      <c r="F4" s="6">
        <v>6941764447462</v>
      </c>
      <c r="G4" s="6">
        <v>13999</v>
      </c>
      <c r="H4" s="4">
        <v>14999</v>
      </c>
      <c r="I4" s="6">
        <v>1000</v>
      </c>
      <c r="J4" s="6" t="s">
        <v>148</v>
      </c>
      <c r="K4" s="6" t="s">
        <v>53</v>
      </c>
      <c r="L4" s="6" t="s">
        <v>53</v>
      </c>
    </row>
    <row r="5" spans="1:12" ht="15" thickBot="1" x14ac:dyDescent="0.4">
      <c r="A5" s="94" t="s">
        <v>437</v>
      </c>
      <c r="B5" s="6" t="s">
        <v>14</v>
      </c>
      <c r="C5" s="6" t="s">
        <v>106</v>
      </c>
      <c r="D5" s="6" t="s">
        <v>52</v>
      </c>
      <c r="E5" s="6" t="s">
        <v>150</v>
      </c>
      <c r="F5" s="6">
        <v>6941764429642</v>
      </c>
      <c r="G5" s="6">
        <v>13999</v>
      </c>
      <c r="H5" s="4">
        <v>14999</v>
      </c>
      <c r="I5" s="6">
        <v>1000</v>
      </c>
      <c r="J5" s="6" t="s">
        <v>148</v>
      </c>
      <c r="K5" s="6" t="s">
        <v>53</v>
      </c>
      <c r="L5" s="6" t="s">
        <v>53</v>
      </c>
    </row>
    <row r="6" spans="1:12" ht="15" thickBot="1" x14ac:dyDescent="0.4">
      <c r="A6" s="94" t="s">
        <v>437</v>
      </c>
      <c r="B6" s="6" t="s">
        <v>15</v>
      </c>
      <c r="C6" s="6" t="s">
        <v>106</v>
      </c>
      <c r="D6" s="6" t="s">
        <v>52</v>
      </c>
      <c r="E6" s="6" t="s">
        <v>150</v>
      </c>
      <c r="F6" s="6">
        <v>6941764429598</v>
      </c>
      <c r="G6" s="6">
        <v>13999</v>
      </c>
      <c r="H6" s="4">
        <v>14999</v>
      </c>
      <c r="I6" s="6">
        <v>1000</v>
      </c>
      <c r="J6" s="6" t="s">
        <v>148</v>
      </c>
      <c r="K6" s="6" t="s">
        <v>53</v>
      </c>
      <c r="L6" s="6" t="s">
        <v>53</v>
      </c>
    </row>
    <row r="7" spans="1:12" ht="15" thickBot="1" x14ac:dyDescent="0.4">
      <c r="A7" s="94" t="s">
        <v>437</v>
      </c>
      <c r="B7" s="6" t="s">
        <v>16</v>
      </c>
      <c r="C7" s="6" t="s">
        <v>106</v>
      </c>
      <c r="D7" s="6" t="s">
        <v>45</v>
      </c>
      <c r="E7" s="6" t="s">
        <v>151</v>
      </c>
      <c r="F7" s="6">
        <v>6941764447479</v>
      </c>
      <c r="G7" s="6">
        <v>14999</v>
      </c>
      <c r="H7" s="4">
        <v>15999</v>
      </c>
      <c r="I7" s="6">
        <v>1000</v>
      </c>
      <c r="J7" s="6" t="s">
        <v>148</v>
      </c>
      <c r="K7" s="6" t="s">
        <v>53</v>
      </c>
      <c r="L7" s="6" t="s">
        <v>53</v>
      </c>
    </row>
    <row r="8" spans="1:12" ht="15" thickBot="1" x14ac:dyDescent="0.4">
      <c r="A8" s="94" t="s">
        <v>437</v>
      </c>
      <c r="B8" s="6" t="s">
        <v>17</v>
      </c>
      <c r="C8" s="6" t="s">
        <v>106</v>
      </c>
      <c r="D8" s="6" t="s">
        <v>45</v>
      </c>
      <c r="E8" s="6" t="s">
        <v>151</v>
      </c>
      <c r="F8" s="6">
        <v>6941764429628</v>
      </c>
      <c r="G8" s="6">
        <v>14999</v>
      </c>
      <c r="H8" s="4">
        <v>15999</v>
      </c>
      <c r="I8" s="6">
        <v>1000</v>
      </c>
      <c r="J8" s="6" t="s">
        <v>148</v>
      </c>
      <c r="K8" s="6" t="s">
        <v>53</v>
      </c>
      <c r="L8" s="6" t="s">
        <v>53</v>
      </c>
    </row>
    <row r="9" spans="1:12" ht="15" thickBot="1" x14ac:dyDescent="0.4">
      <c r="A9" s="94" t="s">
        <v>437</v>
      </c>
      <c r="B9" s="6" t="s">
        <v>18</v>
      </c>
      <c r="C9" s="6" t="s">
        <v>106</v>
      </c>
      <c r="D9" s="6" t="s">
        <v>45</v>
      </c>
      <c r="E9" s="6" t="s">
        <v>151</v>
      </c>
      <c r="F9" s="6">
        <v>6941764429604</v>
      </c>
      <c r="G9" s="6">
        <v>14999</v>
      </c>
      <c r="H9" s="4">
        <v>15999</v>
      </c>
      <c r="I9" s="6">
        <v>1000</v>
      </c>
      <c r="J9" s="6" t="s">
        <v>148</v>
      </c>
      <c r="K9" s="6" t="s">
        <v>53</v>
      </c>
      <c r="L9" s="6" t="s">
        <v>53</v>
      </c>
    </row>
    <row r="10" spans="1:12" ht="15" thickBot="1" x14ac:dyDescent="0.4">
      <c r="A10" s="94" t="s">
        <v>437</v>
      </c>
      <c r="B10" s="6" t="s">
        <v>19</v>
      </c>
      <c r="C10" s="6" t="s">
        <v>107</v>
      </c>
      <c r="D10" s="6" t="s">
        <v>45</v>
      </c>
      <c r="E10" s="6" t="s">
        <v>152</v>
      </c>
      <c r="F10" s="6">
        <v>6941764446564</v>
      </c>
      <c r="G10" s="6">
        <v>18999</v>
      </c>
      <c r="H10" s="4">
        <v>21999</v>
      </c>
      <c r="I10" s="6">
        <v>3000</v>
      </c>
      <c r="J10" s="6" t="s">
        <v>148</v>
      </c>
      <c r="K10" s="6" t="s">
        <v>53</v>
      </c>
      <c r="L10" s="6" t="s">
        <v>53</v>
      </c>
    </row>
    <row r="11" spans="1:12" ht="15" thickBot="1" x14ac:dyDescent="0.4">
      <c r="A11" s="94" t="s">
        <v>437</v>
      </c>
      <c r="B11" s="6" t="s">
        <v>20</v>
      </c>
      <c r="C11" s="6" t="s">
        <v>107</v>
      </c>
      <c r="D11" s="6" t="s">
        <v>45</v>
      </c>
      <c r="E11" s="6" t="s">
        <v>152</v>
      </c>
      <c r="F11" s="6">
        <v>6941764446526</v>
      </c>
      <c r="G11" s="6">
        <v>18999</v>
      </c>
      <c r="H11" s="4">
        <v>21999</v>
      </c>
      <c r="I11" s="6">
        <v>3000</v>
      </c>
      <c r="J11" s="6" t="s">
        <v>148</v>
      </c>
      <c r="K11" s="6" t="s">
        <v>53</v>
      </c>
      <c r="L11" s="6" t="s">
        <v>53</v>
      </c>
    </row>
    <row r="12" spans="1:12" ht="15" thickBot="1" x14ac:dyDescent="0.4">
      <c r="A12" s="94" t="s">
        <v>437</v>
      </c>
      <c r="B12" s="6" t="s">
        <v>21</v>
      </c>
      <c r="C12" s="6" t="s">
        <v>107</v>
      </c>
      <c r="D12" s="6" t="s">
        <v>49</v>
      </c>
      <c r="E12" s="6" t="s">
        <v>153</v>
      </c>
      <c r="F12" s="6">
        <v>6941764446588</v>
      </c>
      <c r="G12" s="6">
        <v>20999</v>
      </c>
      <c r="H12" s="4">
        <v>24999</v>
      </c>
      <c r="I12" s="6">
        <v>4000</v>
      </c>
      <c r="J12" s="6" t="s">
        <v>148</v>
      </c>
      <c r="K12" s="6" t="s">
        <v>53</v>
      </c>
      <c r="L12" s="6" t="s">
        <v>53</v>
      </c>
    </row>
    <row r="13" spans="1:12" ht="15" thickBot="1" x14ac:dyDescent="0.4">
      <c r="A13" s="94" t="s">
        <v>437</v>
      </c>
      <c r="B13" s="6" t="s">
        <v>22</v>
      </c>
      <c r="C13" s="6" t="s">
        <v>107</v>
      </c>
      <c r="D13" s="6" t="s">
        <v>49</v>
      </c>
      <c r="E13" s="6" t="s">
        <v>153</v>
      </c>
      <c r="F13" s="6">
        <v>6941764446540</v>
      </c>
      <c r="G13" s="6">
        <v>20999</v>
      </c>
      <c r="H13" s="4">
        <v>24999</v>
      </c>
      <c r="I13" s="6">
        <v>4000</v>
      </c>
      <c r="J13" s="6" t="s">
        <v>148</v>
      </c>
      <c r="K13" s="6" t="s">
        <v>53</v>
      </c>
      <c r="L13" s="6" t="s">
        <v>53</v>
      </c>
    </row>
    <row r="14" spans="1:12" ht="15" thickBot="1" x14ac:dyDescent="0.4">
      <c r="A14" s="94" t="s">
        <v>437</v>
      </c>
      <c r="B14" s="6" t="s">
        <v>23</v>
      </c>
      <c r="C14" s="6" t="s">
        <v>107</v>
      </c>
      <c r="D14" s="6" t="s">
        <v>50</v>
      </c>
      <c r="E14" s="6" t="s">
        <v>154</v>
      </c>
      <c r="F14" s="6">
        <v>6941764446595</v>
      </c>
      <c r="G14" s="6">
        <v>23999</v>
      </c>
      <c r="H14" s="4">
        <v>27999</v>
      </c>
      <c r="I14" s="6">
        <v>4000</v>
      </c>
      <c r="J14" s="6" t="s">
        <v>148</v>
      </c>
      <c r="K14" s="6" t="s">
        <v>53</v>
      </c>
      <c r="L14" s="6" t="s">
        <v>53</v>
      </c>
    </row>
    <row r="15" spans="1:12" ht="15" thickBot="1" x14ac:dyDescent="0.4">
      <c r="A15" s="94" t="s">
        <v>437</v>
      </c>
      <c r="B15" s="6" t="s">
        <v>24</v>
      </c>
      <c r="C15" s="6" t="s">
        <v>107</v>
      </c>
      <c r="D15" s="6" t="s">
        <v>50</v>
      </c>
      <c r="E15" s="6" t="s">
        <v>154</v>
      </c>
      <c r="F15" s="6">
        <v>6941764446557</v>
      </c>
      <c r="G15" s="6">
        <v>23999</v>
      </c>
      <c r="H15" s="4">
        <v>27999</v>
      </c>
      <c r="I15" s="6">
        <v>4000</v>
      </c>
      <c r="J15" s="6" t="s">
        <v>148</v>
      </c>
      <c r="K15" s="6" t="s">
        <v>53</v>
      </c>
      <c r="L15" s="6" t="s">
        <v>53</v>
      </c>
    </row>
    <row r="16" spans="1:12" ht="15" thickBot="1" x14ac:dyDescent="0.4">
      <c r="A16" s="94" t="s">
        <v>437</v>
      </c>
      <c r="B16" s="6" t="s">
        <v>155</v>
      </c>
      <c r="C16" s="6" t="s">
        <v>108</v>
      </c>
      <c r="D16" s="6" t="s">
        <v>45</v>
      </c>
      <c r="E16" s="6" t="s">
        <v>156</v>
      </c>
      <c r="F16" s="6">
        <v>6941764458864</v>
      </c>
      <c r="G16" s="6">
        <v>24999</v>
      </c>
      <c r="H16" s="4">
        <v>26999</v>
      </c>
      <c r="I16" s="6">
        <v>3000</v>
      </c>
      <c r="J16" s="6" t="s">
        <v>148</v>
      </c>
      <c r="K16" s="6">
        <v>3000</v>
      </c>
      <c r="L16" s="6" t="s">
        <v>157</v>
      </c>
    </row>
    <row r="17" spans="1:12" ht="15" thickBot="1" x14ac:dyDescent="0.4">
      <c r="A17" s="94" t="s">
        <v>437</v>
      </c>
      <c r="B17" s="6" t="s">
        <v>158</v>
      </c>
      <c r="C17" s="6" t="s">
        <v>108</v>
      </c>
      <c r="D17" s="6" t="s">
        <v>45</v>
      </c>
      <c r="E17" s="6" t="s">
        <v>156</v>
      </c>
      <c r="F17" s="6">
        <v>6941764458871</v>
      </c>
      <c r="G17" s="6">
        <v>24999</v>
      </c>
      <c r="H17" s="4">
        <v>26999</v>
      </c>
      <c r="I17" s="6">
        <v>3000</v>
      </c>
      <c r="J17" s="6" t="s">
        <v>148</v>
      </c>
      <c r="K17" s="6">
        <v>3000</v>
      </c>
      <c r="L17" s="6" t="s">
        <v>157</v>
      </c>
    </row>
    <row r="18" spans="1:12" ht="15" thickBot="1" x14ac:dyDescent="0.4">
      <c r="A18" s="94" t="s">
        <v>437</v>
      </c>
      <c r="B18" s="6" t="s">
        <v>159</v>
      </c>
      <c r="C18" s="6" t="s">
        <v>108</v>
      </c>
      <c r="D18" s="6" t="s">
        <v>45</v>
      </c>
      <c r="E18" s="6" t="s">
        <v>156</v>
      </c>
      <c r="F18" s="6">
        <v>6941764458888</v>
      </c>
      <c r="G18" s="6">
        <v>24999</v>
      </c>
      <c r="H18" s="4">
        <v>26999</v>
      </c>
      <c r="I18" s="6">
        <v>3000</v>
      </c>
      <c r="J18" s="6" t="s">
        <v>148</v>
      </c>
      <c r="K18" s="6">
        <v>3000</v>
      </c>
      <c r="L18" s="6" t="s">
        <v>157</v>
      </c>
    </row>
    <row r="19" spans="1:12" ht="15" thickBot="1" x14ac:dyDescent="0.4">
      <c r="A19" s="94" t="s">
        <v>437</v>
      </c>
      <c r="B19" s="6" t="s">
        <v>160</v>
      </c>
      <c r="C19" s="6" t="s">
        <v>108</v>
      </c>
      <c r="D19" s="6" t="s">
        <v>47</v>
      </c>
      <c r="E19" s="6" t="s">
        <v>161</v>
      </c>
      <c r="F19" s="6">
        <v>6941764458895</v>
      </c>
      <c r="G19" s="6">
        <v>25999</v>
      </c>
      <c r="H19" s="4">
        <v>27999</v>
      </c>
      <c r="I19" s="6">
        <v>3000</v>
      </c>
      <c r="J19" s="6" t="s">
        <v>148</v>
      </c>
      <c r="K19" s="6">
        <v>3000</v>
      </c>
      <c r="L19" s="6" t="s">
        <v>157</v>
      </c>
    </row>
    <row r="20" spans="1:12" ht="15" thickBot="1" x14ac:dyDescent="0.4">
      <c r="A20" s="94" t="s">
        <v>437</v>
      </c>
      <c r="B20" s="6" t="s">
        <v>162</v>
      </c>
      <c r="C20" s="6" t="s">
        <v>108</v>
      </c>
      <c r="D20" s="6" t="s">
        <v>47</v>
      </c>
      <c r="E20" s="6" t="s">
        <v>161</v>
      </c>
      <c r="F20" s="6">
        <v>6941764458901</v>
      </c>
      <c r="G20" s="6">
        <v>25999</v>
      </c>
      <c r="H20" s="4">
        <v>27999</v>
      </c>
      <c r="I20" s="6">
        <v>3000</v>
      </c>
      <c r="J20" s="6" t="s">
        <v>148</v>
      </c>
      <c r="K20" s="6">
        <v>3000</v>
      </c>
      <c r="L20" s="6" t="s">
        <v>157</v>
      </c>
    </row>
    <row r="21" spans="1:12" ht="15" thickBot="1" x14ac:dyDescent="0.4">
      <c r="A21" s="94" t="s">
        <v>437</v>
      </c>
      <c r="B21" s="6" t="s">
        <v>163</v>
      </c>
      <c r="C21" s="6" t="s">
        <v>108</v>
      </c>
      <c r="D21" s="6" t="s">
        <v>47</v>
      </c>
      <c r="E21" s="6" t="s">
        <v>161</v>
      </c>
      <c r="F21" s="6">
        <v>6941764458918</v>
      </c>
      <c r="G21" s="6">
        <v>25999</v>
      </c>
      <c r="H21" s="4">
        <v>27999</v>
      </c>
      <c r="I21" s="6">
        <v>3000</v>
      </c>
      <c r="J21" s="6" t="s">
        <v>148</v>
      </c>
      <c r="K21" s="6">
        <v>3000</v>
      </c>
      <c r="L21" s="6" t="s">
        <v>157</v>
      </c>
    </row>
    <row r="22" spans="1:12" ht="15" thickBot="1" x14ac:dyDescent="0.4">
      <c r="A22" s="94" t="s">
        <v>437</v>
      </c>
      <c r="B22" s="6" t="s">
        <v>164</v>
      </c>
      <c r="C22" s="6" t="s">
        <v>108</v>
      </c>
      <c r="D22" s="6" t="s">
        <v>49</v>
      </c>
      <c r="E22" s="6" t="s">
        <v>165</v>
      </c>
      <c r="F22" s="6">
        <v>6941764458925</v>
      </c>
      <c r="G22" s="6">
        <v>27999</v>
      </c>
      <c r="H22" s="4">
        <v>29999</v>
      </c>
      <c r="I22" s="6">
        <v>3000</v>
      </c>
      <c r="J22" s="6" t="s">
        <v>148</v>
      </c>
      <c r="K22" s="6">
        <v>3000</v>
      </c>
      <c r="L22" s="6" t="s">
        <v>157</v>
      </c>
    </row>
    <row r="23" spans="1:12" ht="15" thickBot="1" x14ac:dyDescent="0.4">
      <c r="A23" s="94" t="s">
        <v>437</v>
      </c>
      <c r="B23" s="6" t="s">
        <v>166</v>
      </c>
      <c r="C23" s="6" t="s">
        <v>108</v>
      </c>
      <c r="D23" s="6" t="s">
        <v>49</v>
      </c>
      <c r="E23" s="6" t="s">
        <v>165</v>
      </c>
      <c r="F23" s="6">
        <v>6941764458932</v>
      </c>
      <c r="G23" s="6">
        <v>27999</v>
      </c>
      <c r="H23" s="4">
        <v>29999</v>
      </c>
      <c r="I23" s="6">
        <v>3000</v>
      </c>
      <c r="J23" s="6" t="s">
        <v>148</v>
      </c>
      <c r="K23" s="6">
        <v>3000</v>
      </c>
      <c r="L23" s="6" t="s">
        <v>157</v>
      </c>
    </row>
    <row r="24" spans="1:12" ht="15" thickBot="1" x14ac:dyDescent="0.4">
      <c r="A24" s="94" t="s">
        <v>437</v>
      </c>
      <c r="B24" s="6" t="s">
        <v>167</v>
      </c>
      <c r="C24" s="6" t="s">
        <v>108</v>
      </c>
      <c r="D24" s="6" t="s">
        <v>49</v>
      </c>
      <c r="E24" s="6" t="s">
        <v>165</v>
      </c>
      <c r="F24" s="6">
        <v>6941764458949</v>
      </c>
      <c r="G24" s="6">
        <v>27999</v>
      </c>
      <c r="H24" s="4">
        <v>29999</v>
      </c>
      <c r="I24" s="6">
        <v>3000</v>
      </c>
      <c r="J24" s="6" t="s">
        <v>148</v>
      </c>
      <c r="K24" s="6">
        <v>3000</v>
      </c>
      <c r="L24" s="6" t="s">
        <v>157</v>
      </c>
    </row>
    <row r="25" spans="1:12" ht="15" thickBot="1" x14ac:dyDescent="0.4">
      <c r="A25" s="94" t="s">
        <v>437</v>
      </c>
      <c r="B25" s="6" t="s">
        <v>29</v>
      </c>
      <c r="C25" s="6" t="s">
        <v>119</v>
      </c>
      <c r="D25" s="6" t="s">
        <v>45</v>
      </c>
      <c r="E25" s="6" t="s">
        <v>169</v>
      </c>
      <c r="F25" s="6">
        <v>6941764458642</v>
      </c>
      <c r="G25" s="6">
        <v>21999</v>
      </c>
      <c r="H25" s="4">
        <v>23999</v>
      </c>
      <c r="I25" s="6">
        <v>2000</v>
      </c>
      <c r="J25" s="6" t="s">
        <v>148</v>
      </c>
      <c r="K25" s="6">
        <v>2000</v>
      </c>
      <c r="L25" s="6" t="s">
        <v>157</v>
      </c>
    </row>
    <row r="26" spans="1:12" ht="15" thickBot="1" x14ac:dyDescent="0.4">
      <c r="A26" s="94" t="s">
        <v>437</v>
      </c>
      <c r="B26" s="6" t="s">
        <v>30</v>
      </c>
      <c r="C26" s="6" t="s">
        <v>119</v>
      </c>
      <c r="D26" s="6" t="s">
        <v>45</v>
      </c>
      <c r="E26" s="6" t="s">
        <v>169</v>
      </c>
      <c r="F26" s="6">
        <v>6941764458659</v>
      </c>
      <c r="G26" s="6">
        <v>21999</v>
      </c>
      <c r="H26" s="4">
        <v>23999</v>
      </c>
      <c r="I26" s="6">
        <v>2000</v>
      </c>
      <c r="J26" s="6" t="s">
        <v>148</v>
      </c>
      <c r="K26" s="6">
        <v>2000</v>
      </c>
      <c r="L26" s="6" t="s">
        <v>157</v>
      </c>
    </row>
    <row r="27" spans="1:12" ht="15" thickBot="1" x14ac:dyDescent="0.4">
      <c r="A27" s="94" t="s">
        <v>437</v>
      </c>
      <c r="B27" s="6" t="s">
        <v>31</v>
      </c>
      <c r="C27" s="6" t="s">
        <v>119</v>
      </c>
      <c r="D27" s="6" t="s">
        <v>45</v>
      </c>
      <c r="E27" s="6" t="s">
        <v>169</v>
      </c>
      <c r="F27" s="6">
        <v>6941764458666</v>
      </c>
      <c r="G27" s="6">
        <v>21999</v>
      </c>
      <c r="H27" s="4">
        <v>23999</v>
      </c>
      <c r="I27" s="6">
        <v>2000</v>
      </c>
      <c r="J27" s="6" t="s">
        <v>148</v>
      </c>
      <c r="K27" s="6">
        <v>2000</v>
      </c>
      <c r="L27" s="6" t="s">
        <v>157</v>
      </c>
    </row>
    <row r="28" spans="1:12" ht="15" thickBot="1" x14ac:dyDescent="0.4">
      <c r="A28" s="94" t="s">
        <v>437</v>
      </c>
      <c r="B28" s="6" t="s">
        <v>32</v>
      </c>
      <c r="C28" s="6" t="s">
        <v>119</v>
      </c>
      <c r="D28" s="6" t="s">
        <v>47</v>
      </c>
      <c r="E28" s="6" t="s">
        <v>170</v>
      </c>
      <c r="F28" s="6">
        <v>6941764458673</v>
      </c>
      <c r="G28" s="6">
        <v>22999</v>
      </c>
      <c r="H28" s="4">
        <v>24999</v>
      </c>
      <c r="I28" s="6">
        <v>2000</v>
      </c>
      <c r="J28" s="6" t="s">
        <v>148</v>
      </c>
      <c r="K28" s="6">
        <v>2000</v>
      </c>
      <c r="L28" s="6" t="s">
        <v>157</v>
      </c>
    </row>
    <row r="29" spans="1:12" ht="15" thickBot="1" x14ac:dyDescent="0.4">
      <c r="A29" s="94" t="s">
        <v>437</v>
      </c>
      <c r="B29" s="6" t="s">
        <v>33</v>
      </c>
      <c r="C29" s="6" t="s">
        <v>119</v>
      </c>
      <c r="D29" s="6" t="s">
        <v>47</v>
      </c>
      <c r="E29" s="6" t="s">
        <v>170</v>
      </c>
      <c r="F29" s="6">
        <v>6941764458680</v>
      </c>
      <c r="G29" s="6">
        <v>22999</v>
      </c>
      <c r="H29" s="4">
        <v>24999</v>
      </c>
      <c r="I29" s="6">
        <v>2000</v>
      </c>
      <c r="J29" s="6" t="s">
        <v>148</v>
      </c>
      <c r="K29" s="6">
        <v>2000</v>
      </c>
      <c r="L29" s="6" t="s">
        <v>157</v>
      </c>
    </row>
    <row r="30" spans="1:12" ht="15" thickBot="1" x14ac:dyDescent="0.4">
      <c r="A30" s="94" t="s">
        <v>437</v>
      </c>
      <c r="B30" s="6" t="s">
        <v>34</v>
      </c>
      <c r="C30" s="6" t="s">
        <v>119</v>
      </c>
      <c r="D30" s="6" t="s">
        <v>47</v>
      </c>
      <c r="E30" s="6" t="s">
        <v>170</v>
      </c>
      <c r="F30" s="6">
        <v>6941764458697</v>
      </c>
      <c r="G30" s="6">
        <v>22999</v>
      </c>
      <c r="H30" s="4">
        <v>24999</v>
      </c>
      <c r="I30" s="6">
        <v>2000</v>
      </c>
      <c r="J30" s="6" t="s">
        <v>148</v>
      </c>
      <c r="K30" s="6">
        <v>2000</v>
      </c>
      <c r="L30" s="6" t="s">
        <v>157</v>
      </c>
    </row>
    <row r="31" spans="1:12" ht="15" thickBot="1" x14ac:dyDescent="0.4">
      <c r="A31" s="94" t="s">
        <v>437</v>
      </c>
      <c r="B31" s="6" t="s">
        <v>35</v>
      </c>
      <c r="C31" s="6" t="s">
        <v>119</v>
      </c>
      <c r="D31" s="6" t="s">
        <v>49</v>
      </c>
      <c r="E31" s="6" t="s">
        <v>171</v>
      </c>
      <c r="F31" s="6">
        <v>6941764458703</v>
      </c>
      <c r="G31" s="6">
        <v>24999</v>
      </c>
      <c r="H31" s="4">
        <v>26999</v>
      </c>
      <c r="I31" s="6">
        <v>3000</v>
      </c>
      <c r="J31" s="6" t="s">
        <v>148</v>
      </c>
      <c r="K31" s="6">
        <v>3000</v>
      </c>
      <c r="L31" s="6" t="s">
        <v>157</v>
      </c>
    </row>
    <row r="32" spans="1:12" ht="15" thickBot="1" x14ac:dyDescent="0.4">
      <c r="A32" s="94" t="s">
        <v>437</v>
      </c>
      <c r="B32" s="6" t="s">
        <v>36</v>
      </c>
      <c r="C32" s="6" t="s">
        <v>119</v>
      </c>
      <c r="D32" s="6" t="s">
        <v>49</v>
      </c>
      <c r="E32" s="6" t="s">
        <v>171</v>
      </c>
      <c r="F32" s="6">
        <v>6941764458710</v>
      </c>
      <c r="G32" s="6">
        <v>24999</v>
      </c>
      <c r="H32" s="4">
        <v>26999</v>
      </c>
      <c r="I32" s="6">
        <v>3000</v>
      </c>
      <c r="J32" s="6" t="s">
        <v>148</v>
      </c>
      <c r="K32" s="6">
        <v>3000</v>
      </c>
      <c r="L32" s="6" t="s">
        <v>157</v>
      </c>
    </row>
    <row r="33" spans="1:12" ht="15" thickBot="1" x14ac:dyDescent="0.4">
      <c r="A33" s="94" t="s">
        <v>437</v>
      </c>
      <c r="B33" s="6" t="s">
        <v>37</v>
      </c>
      <c r="C33" s="6" t="s">
        <v>119</v>
      </c>
      <c r="D33" s="6" t="s">
        <v>49</v>
      </c>
      <c r="E33" s="6" t="s">
        <v>171</v>
      </c>
      <c r="F33" s="6">
        <v>6941764458727</v>
      </c>
      <c r="G33" s="6">
        <v>24999</v>
      </c>
      <c r="H33" s="4">
        <v>26999</v>
      </c>
      <c r="I33" s="6">
        <v>3000</v>
      </c>
      <c r="J33" s="6" t="s">
        <v>148</v>
      </c>
      <c r="K33" s="6">
        <v>3000</v>
      </c>
      <c r="L33" s="6" t="s">
        <v>157</v>
      </c>
    </row>
    <row r="35" spans="1:12" ht="15.5" x14ac:dyDescent="0.35">
      <c r="A35"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tenure</vt:lpstr>
      <vt:lpstr>0ffer 1</vt:lpstr>
      <vt:lpstr>pad nce</vt:lpstr>
      <vt:lpstr>pad full swipe</vt:lpstr>
      <vt:lpstr>offer 2 9th to 13th</vt:lpstr>
      <vt:lpstr>gt price update 9th</vt:lpstr>
      <vt:lpstr>p3 0ffer 10TH TO 13TH</vt:lpstr>
      <vt:lpstr>p1 p2 14th to 21st</vt:lpstr>
      <vt:lpstr>15th to 21st gt 6</vt:lpstr>
      <vt:lpstr>pseries offer 14th to 16th</vt:lpstr>
      <vt:lpstr>p3 offer 17th to 19th</vt:lpstr>
      <vt:lpstr>p3 offer 20th 21st</vt:lpstr>
      <vt:lpstr>offer 3 23rd to 30th</vt:lpstr>
      <vt:lpstr>hdfc sharing</vt:lpstr>
      <vt:lpstr>14t offer 25th</vt: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Kaushik GM</dc:creator>
  <cp:lastModifiedBy>Kaushik GM</cp:lastModifiedBy>
  <dcterms:created xsi:type="dcterms:W3CDTF">2025-04-02T04:17:00Z</dcterms:created>
  <dcterms:modified xsi:type="dcterms:W3CDTF">2025-04-28T05:35:32Z</dcterms:modified>
</cp:coreProperties>
</file>